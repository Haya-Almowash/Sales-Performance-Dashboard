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TD20246741\Desktop\"/>
    </mc:Choice>
  </mc:AlternateContent>
  <xr:revisionPtr revIDLastSave="0" documentId="13_ncr:2001_{E801D0CB-6CBB-4FE7-BCC2-5E50644F4E4A}" xr6:coauthVersionLast="47" xr6:coauthVersionMax="47" xr10:uidLastSave="{00000000-0000-0000-0000-000000000000}"/>
  <bookViews>
    <workbookView xWindow="-110" yWindow="-110" windowWidth="19420" windowHeight="11500" activeTab="1" xr2:uid="{FE470A3B-4F4E-40F3-8C10-99DDB597CE16}"/>
  </bookViews>
  <sheets>
    <sheet name="Pivot Analysis" sheetId="4" r:id="rId1"/>
    <sheet name="الجدول" sheetId="2" r:id="rId2"/>
    <sheet name="sales_data" sheetId="1" r:id="rId3"/>
  </sheets>
  <definedNames>
    <definedName name="_xlchart.v1.0" hidden="1">الجدول!$D$2:$D$101</definedName>
    <definedName name="_xlchart.v1.1" hidden="1">الجدول!$M$2:$M$101</definedName>
    <definedName name="ExternalData_1" localSheetId="1" hidden="1">الجدول!$A$1:$Q$101</definedName>
  </definedNames>
  <calcPr calcId="191029"/>
  <pivotCaches>
    <pivotCache cacheId="53" r:id="rId4"/>
    <pivotCache cacheId="64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DB7C20-DA5D-445E-BA17-5179B9B51601}" keepAlive="1" name="استعلام - ‏‏الجدول1" description="‏‏الاتصال بالاستعلام 'الجدول1' في المصنف." type="5" refreshedVersion="8" background="1" saveData="1">
    <dbPr connection="Provider=Microsoft.Mashup.OleDb.1;Data Source=$Workbook$;Location=الجدول1;Extended Properties=&quot;&quot;" command="SELECT * FROM [الجدول1]"/>
  </connection>
</connections>
</file>

<file path=xl/sharedStrings.xml><?xml version="1.0" encoding="utf-8"?>
<sst xmlns="http://schemas.openxmlformats.org/spreadsheetml/2006/main" count="7798" uniqueCount="82">
  <si>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</si>
  <si>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</si>
  <si>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</si>
  <si>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</si>
  <si>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</si>
  <si>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</si>
  <si>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</si>
  <si>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</si>
  <si>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</si>
  <si>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</si>
  <si>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</si>
  <si>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</si>
  <si>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</si>
  <si>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</si>
  <si>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</si>
  <si>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</si>
  <si>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</si>
  <si>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</si>
  <si>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</si>
  <si>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</si>
  <si>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</si>
  <si>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</si>
  <si>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</si>
  <si>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</si>
  <si>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</si>
  <si>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</si>
  <si>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</si>
  <si>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</si>
  <si>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</si>
  <si>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</si>
  <si>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</si>
  <si>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</si>
  <si>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</si>
  <si>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</si>
  <si>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</si>
  <si>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</si>
  <si>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</si>
  <si>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</si>
  <si>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</si>
  <si>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</si>
  <si>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</si>
  <si>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</si>
  <si>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</si>
  <si>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</si>
  <si>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</si>
  <si>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</si>
  <si>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</si>
  <si>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</si>
  <si>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</si>
  <si>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</si>
  <si>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</si>
  <si>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</si>
  <si>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</si>
  <si>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</si>
  <si>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Profit</t>
  </si>
  <si>
    <t>Discount_Amount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</si>
  <si>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</si>
  <si>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</si>
  <si>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</si>
  <si>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</si>
  <si>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</si>
  <si>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</si>
  <si>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</si>
  <si>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</si>
  <si>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</si>
  <si>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</si>
  <si>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</si>
  <si>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</si>
  <si>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</si>
  <si>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Net_Revenue</t>
  </si>
  <si>
    <t>تسميات الصفوف</t>
  </si>
  <si>
    <t>الإجمالي الكلي</t>
  </si>
  <si>
    <t>مجموع من Net_Revenue</t>
  </si>
  <si>
    <t>إجمالي صافي الإيرادات حسب المنطقة</t>
  </si>
  <si>
    <t>تحليل تأثير الخصومات على صافي الإيرادات</t>
  </si>
  <si>
    <t>متوسط من Discount</t>
  </si>
  <si>
    <t>Discount_Fixed</t>
  </si>
  <si>
    <t>تسميات الأعمدة</t>
  </si>
  <si>
    <t>net</t>
  </si>
  <si>
    <t>تحليل صافي الإيرادات حسب مندوب المبيعات وقناة البيع</t>
  </si>
  <si>
    <t>مقارنة صافي الإيرادات حسب نوع العميل</t>
  </si>
  <si>
    <t>تحليل أداء المبيعات والإيرادات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</si>
</sst>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#,##0,&quot;k&quot;"/>
  </numFmts>
  <fonts count="24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i/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8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  <xf numFmtId="2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right"/>
    </xf>
    <xf numFmtId="3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right" vertical="center" indent="3"/>
    </xf>
    <xf numFmtId="0" fontId="20" fillId="0" borderId="0" xfId="0" pivotButton="1" applyFont="1"/>
    <xf numFmtId="0" fontId="20" fillId="0" borderId="0" xfId="0" applyFont="1"/>
    <xf numFmtId="0" fontId="20" fillId="0" borderId="0" xfId="0" applyFont="1" applyAlignment="1">
      <alignment horizontal="right"/>
    </xf>
    <xf numFmtId="0" fontId="21" fillId="0" borderId="0" xfId="0" applyFont="1"/>
    <xf numFmtId="0" fontId="22" fillId="0" borderId="0" xfId="0" applyFont="1" applyAlignment="1">
      <alignment horizontal="center" vertical="center"/>
    </xf>
    <xf numFmtId="43" fontId="21" fillId="0" borderId="0" xfId="0" pivotButton="1" applyNumberFormat="1" applyFont="1" applyAlignment="1">
      <alignment horizontal="center" vertical="center"/>
    </xf>
    <xf numFmtId="43" fontId="21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19" fillId="0" borderId="0" xfId="0" applyFont="1" applyAlignment="1">
      <alignment horizontal="center"/>
    </xf>
    <xf numFmtId="0" fontId="23" fillId="0" borderId="0" xfId="0" applyFont="1" applyAlignment="1">
      <alignment horizontal="center"/>
    </xf>
  </cellXfs>
  <cellStyles count="43">
    <cellStyle name="20% - تمييز1" xfId="20" builtinId="30" customBuiltin="1"/>
    <cellStyle name="20% - تمييز2" xfId="24" builtinId="34" customBuiltin="1"/>
    <cellStyle name="20% - تمييز3" xfId="28" builtinId="38" customBuiltin="1"/>
    <cellStyle name="20% - تمييز4" xfId="32" builtinId="42" customBuiltin="1"/>
    <cellStyle name="20% - تمييز5" xfId="36" builtinId="46" customBuiltin="1"/>
    <cellStyle name="20% - تمييز6" xfId="40" builtinId="50" customBuiltin="1"/>
    <cellStyle name="40% - تمييز1" xfId="21" builtinId="31" customBuiltin="1"/>
    <cellStyle name="40% - تمييز2" xfId="25" builtinId="35" customBuiltin="1"/>
    <cellStyle name="40% - تمييز3" xfId="29" builtinId="39" customBuiltin="1"/>
    <cellStyle name="40% - تمييز4" xfId="33" builtinId="43" customBuiltin="1"/>
    <cellStyle name="40% - تمييز5" xfId="37" builtinId="47" customBuiltin="1"/>
    <cellStyle name="40% - تمييز6" xfId="41" builtinId="51" customBuiltin="1"/>
    <cellStyle name="60% - تمييز1" xfId="22" builtinId="32" customBuiltin="1"/>
    <cellStyle name="60% - تمييز2" xfId="26" builtinId="36" customBuiltin="1"/>
    <cellStyle name="60% - تمييز3" xfId="30" builtinId="40" customBuiltin="1"/>
    <cellStyle name="60% - تمييز4" xfId="34" builtinId="44" customBuiltin="1"/>
    <cellStyle name="60% - تمييز5" xfId="38" builtinId="48" customBuiltin="1"/>
    <cellStyle name="60% - تمييز6" xfId="42" builtinId="52" customBuiltin="1"/>
    <cellStyle name="Percent" xfId="1" builtinId="5"/>
    <cellStyle name="إخراج" xfId="11" builtinId="21" customBuiltin="1"/>
    <cellStyle name="إدخال" xfId="10" builtinId="20" customBuiltin="1"/>
    <cellStyle name="الإجمالي" xfId="18" builtinId="25" customBuiltin="1"/>
    <cellStyle name="تمييز1" xfId="19" builtinId="29" customBuiltin="1"/>
    <cellStyle name="تمييز2" xfId="23" builtinId="33" customBuiltin="1"/>
    <cellStyle name="تمييز3" xfId="27" builtinId="37" customBuiltin="1"/>
    <cellStyle name="تمييز4" xfId="31" builtinId="41" customBuiltin="1"/>
    <cellStyle name="تمييز5" xfId="35" builtinId="45" customBuiltin="1"/>
    <cellStyle name="تمييز6" xfId="39" builtinId="49" customBuiltin="1"/>
    <cellStyle name="جيد" xfId="7" builtinId="26" customBuiltin="1"/>
    <cellStyle name="حساب" xfId="12" builtinId="22" customBuiltin="1"/>
    <cellStyle name="خلية تدقيق" xfId="14" builtinId="23" customBuiltin="1"/>
    <cellStyle name="خلية مرتبطة" xfId="13" builtinId="24" customBuiltin="1"/>
    <cellStyle name="سيئ" xfId="8" builtinId="27" customBuiltin="1"/>
    <cellStyle name="عادي" xfId="0" builtinId="0"/>
    <cellStyle name="عنوان" xfId="2" builtinId="15" customBuiltin="1"/>
    <cellStyle name="عنوان 1" xfId="3" builtinId="16" customBuiltin="1"/>
    <cellStyle name="عنوان 2" xfId="4" builtinId="17" customBuiltin="1"/>
    <cellStyle name="عنوان 3" xfId="5" builtinId="18" customBuiltin="1"/>
    <cellStyle name="عنوان 4" xfId="6" builtinId="19" customBuiltin="1"/>
    <cellStyle name="محايد" xfId="9" builtinId="28" customBuiltin="1"/>
    <cellStyle name="ملاحظة" xfId="16" builtinId="10" customBuiltin="1"/>
    <cellStyle name="نص تحذير" xfId="15" builtinId="11" customBuiltin="1"/>
    <cellStyle name="نص توضيحي" xfId="17" builtinId="53" customBuiltin="1"/>
  </cellStyles>
  <dxfs count="37">
    <dxf>
      <numFmt numFmtId="3" formatCode="#,##0"/>
      <alignment horizontal="center"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2"/>
      </font>
    </dxf>
    <dxf>
      <font>
        <sz val="12"/>
      </font>
    </dxf>
    <dxf>
      <numFmt numFmtId="35" formatCode="_-* #,##0.00_-;\-* #,##0.00_-;_-* &quot;-&quot;??_-;_-@_-"/>
    </dxf>
    <dxf>
      <numFmt numFmtId="165" formatCode="#,##0,&quot;k&quot;"/>
    </dxf>
    <dxf>
      <alignment horizontal="center"/>
    </dxf>
    <dxf>
      <alignment vertical="center"/>
    </dxf>
    <dxf>
      <numFmt numFmtId="0" formatCode="General"/>
    </dxf>
    <dxf>
      <numFmt numFmtId="13" formatCode="0%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3" formatCode="#,##0"/>
      <alignment horizontal="center" vertical="center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cs typeface="Arial" panose="020B0604020202020204" pitchFamily="34" charset="0"/>
              </a:rPr>
              <a:t>Discount Distribution by Regin</a:t>
            </a:r>
            <a:endParaRPr lang="ar-SA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9A149705-7E8B-48F0-B4C2-1D8CAE4D95CD}">
          <cx:spPr>
            <a:solidFill>
              <a:schemeClr val="accent6">
                <a:lumMod val="40000"/>
                <a:lumOff val="6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452967</xdr:colOff>
      <xdr:row>17</xdr:row>
      <xdr:rowOff>148167</xdr:rowOff>
    </xdr:from>
    <xdr:to>
      <xdr:col>24</xdr:col>
      <xdr:colOff>385233</xdr:colOff>
      <xdr:row>33</xdr:row>
      <xdr:rowOff>46567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مخطط 2">
              <a:extLst>
                <a:ext uri="{FF2B5EF4-FFF2-40B4-BE49-F238E27FC236}">
                  <a16:creationId xmlns:a16="http://schemas.microsoft.com/office/drawing/2014/main" id="{86AA03B6-199A-83E4-0312-3A48FE76E3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4419167" y="3183467"/>
              <a:ext cx="457411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ar-SA" sz="1100"/>
                <a:t>هذا المخطط غير متوفر في إصدار Excel.‏
سيؤدي تحرير هذا الشكل أو حفظ هذا المصنف بتنسيق ملف مختلف إلى تعطيل التخطيط بشكل دائم.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D.20246741" refreshedDate="46149.308678240741" createdVersion="8" refreshedVersion="8" minRefreshableVersion="3" recordCount="100" xr:uid="{301DAA9E-63BB-4293-905B-229498152859}">
  <cacheSource type="worksheet">
    <worksheetSource name="الجدول1_1"/>
  </cacheSource>
  <cacheFields count="18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1T00:00:00"/>
    </cacheField>
    <cacheField name="Sales_Rep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Profit" numFmtId="0">
      <sharedItems containsSemiMixedTypes="0" containsString="0" containsNumber="1" minValue="-4612.3738000000003" maxValue="8081.9030000000002"/>
    </cacheField>
    <cacheField name="Discount_Amount" numFmtId="0">
      <sharedItems containsSemiMixedTypes="0" containsString="0" containsNumber="1" minValue="0" maxValue="2785.5486000000001"/>
    </cacheField>
    <cacheField name="Sales_Amount" numFmtId="0">
      <sharedItems containsSemiMixedTypes="0" containsString="0" containsNumber="1" minValue="113.4" maxValue="9813.81"/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/>
    </cacheField>
    <cacheField name="Unit_Cost" numFmtId="0">
      <sharedItems containsSemiMixedTypes="0" containsString="0" containsNumber="1" minValue="121.19" maxValue="4812.41"/>
    </cacheField>
    <cacheField name="Unit_Price" numFmtId="0">
      <sharedItems containsSemiMixedTypes="0" containsString="0" containsNumber="1" minValue="267.22000000000003" maxValue="5088"/>
    </cacheField>
    <cacheField name="Customer_Type" numFmtId="0">
      <sharedItems/>
    </cacheField>
    <cacheField name="Discount" numFmtId="9">
      <sharedItems containsSemiMixedTypes="0" containsString="0" containsNumber="1" minValue="0" maxValue="0.3"/>
    </cacheField>
    <cacheField name="Discount_Fixed" numFmtId="0">
      <sharedItems containsSemiMixedTypes="0" containsString="0" containsNumber="1" minValue="0" maxValue="0.3" count="31">
        <n v="0.09"/>
        <n v="0.11"/>
        <n v="0.2"/>
        <n v="0.02"/>
        <n v="0.08"/>
        <n v="0.21"/>
        <n v="0.14000000000000001"/>
        <n v="0.12"/>
        <n v="0.05"/>
        <n v="0.23"/>
        <n v="0"/>
        <n v="0.28999999999999998"/>
        <n v="0.18"/>
        <n v="0.04"/>
        <n v="0.26"/>
        <n v="7.0000000000000007E-2"/>
        <n v="0.06"/>
        <n v="0.22"/>
        <n v="0.17"/>
        <n v="0.3"/>
        <n v="0.28000000000000003"/>
        <n v="0.15"/>
        <n v="0.1"/>
        <n v="0.13"/>
        <n v="0.19"/>
        <n v="0.03"/>
        <n v="0.16"/>
        <n v="0.24"/>
        <n v="0.25"/>
        <n v="0.27"/>
        <n v="0.01"/>
      </sharedItems>
    </cacheField>
    <cacheField name="Payment_Method" numFmtId="0">
      <sharedItems/>
    </cacheField>
    <cacheField name="Sales_Channel" numFmtId="0">
      <sharedItems/>
    </cacheField>
    <cacheField name="Region_and_Sales_Rep" numFmtId="0">
      <sharedItems/>
    </cacheField>
    <cacheField name="Net_Revenue" numFmtId="2">
      <sharedItems containsSemiMixedTypes="0" containsString="0" containsNumber="1" minValue="103.131" maxValue="9636.1352999999999" count="100">
        <n v="4599.1127000000006"/>
        <n v="3901.7778000000003"/>
        <n v="3704.9839999999999"/>
        <n v="2124.5812000000001"/>
        <n v="3450.1840000000002"/>
        <n v="2971.3085000000001"/>
        <n v="531.74659999999994"/>
        <n v="6775.0496000000003"/>
        <n v="4012.2204999999999"/>
        <n v="6559.2065000000011"/>
        <n v="2022.8407999999999"/>
        <n v="6607.8"/>
        <n v="3820.4720000000002"/>
        <n v="6257.6204999999991"/>
        <n v="1833.3806000000002"/>
        <n v="6537.9359999999997"/>
        <n v="2237.3751999999999"/>
        <n v="1350.6854999999998"/>
        <n v="6522.6567999999997"/>
        <n v="3031.2273999999998"/>
        <n v="3129.2040000000002"/>
        <n v="5728.6"/>
        <n v="1927.1738999999998"/>
        <n v="2444.6487999999999"/>
        <n v="3105.0963999999999"/>
        <n v="634.60339999999997"/>
        <n v="1179.8905999999999"/>
        <n v="5102.8894"/>
        <n v="1924.4189999999999"/>
        <n v="176.7312"/>
        <n v="2442.2011999999995"/>
        <n v="1131.5625"/>
        <n v="4481.424"/>
        <n v="3569.1489000000001"/>
        <n v="3755.6320000000001"/>
        <n v="4347.8886000000002"/>
        <n v="5514.2127"/>
        <n v="3187.45"/>
        <n v="7374.3845000000001"/>
        <n v="7810.0320000000011"/>
        <n v="1275.8025"/>
        <n v="208.86839999999998"/>
        <n v="1186.846"/>
        <n v="2823.5344"/>
        <n v="6048.1980000000003"/>
        <n v="4966.4195"/>
        <n v="3213.1869999999999"/>
        <n v="109.998"/>
        <n v="2423.7437000000004"/>
        <n v="5459.949599999999"/>
        <n v="8867.5132000000012"/>
        <n v="8276.09"/>
        <n v="7460.9769999999999"/>
        <n v="2448.1073000000001"/>
        <n v="4060.6587999999997"/>
        <n v="6074.7570000000005"/>
        <n v="8489.6729999999989"/>
        <n v="6141.2364000000007"/>
        <n v="1771.7652"/>
        <n v="1957.1999999999998"/>
        <n v="4946.9009999999998"/>
        <n v="1477.1835000000001"/>
        <n v="3233.1288000000004"/>
        <n v="5757.8064999999997"/>
        <n v="3165.6600000000003"/>
        <n v="8999.4477999999999"/>
        <n v="651.38709999999992"/>
        <n v="4260.0518000000002"/>
        <n v="6555.1103999999996"/>
        <n v="2368.4387999999999"/>
        <n v="3464.0552000000002"/>
        <n v="1628.2049999999999"/>
        <n v="7262.2194"/>
        <n v="7952.11"/>
        <n v="1821.7661000000001"/>
        <n v="5384.6319999999996"/>
        <n v="1684.7594999999999"/>
        <n v="6819.7914000000001"/>
        <n v="5698.0275000000001"/>
        <n v="2115.3960999999999"/>
        <n v="1283.0475000000001"/>
        <n v="4535.1629999999996"/>
        <n v="200.03620000000001"/>
        <n v="6124.9919999999993"/>
        <n v="7169.4153999999999"/>
        <n v="7252.280999999999"/>
        <n v="4127.5920999999998"/>
        <n v="6089.5040000000008"/>
        <n v="5714.1023999999998"/>
        <n v="3787.6974"/>
        <n v="2405.9699000000001"/>
        <n v="4738.3487999999998"/>
        <n v="1312.6478"/>
        <n v="3189.2224000000001"/>
        <n v="9636.1352999999999"/>
        <n v="103.131"/>
        <n v="6053.648000000001"/>
        <n v="3354.0891999999999"/>
        <n v="3694.3379999999997"/>
        <n v="1578.23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D.20246741" refreshedDate="46149.327556828706" createdVersion="8" refreshedVersion="8" minRefreshableVersion="3" recordCount="1000" xr:uid="{E8114921-F47A-4EA1-BF8A-8701B730457D}">
  <cacheSource type="worksheet">
    <worksheetSource name="الجدول1"/>
  </cacheSource>
  <cacheFields count="16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/>
    </cacheField>
    <cacheField name="Sales_Rep" numFmtId="0">
      <sharedItems count="5">
        <s v="Bob"/>
        <s v="David"/>
        <s v="Charlie"/>
        <s v="Eve"/>
        <s v="Alice"/>
      </sharedItems>
    </cacheField>
    <cacheField name="Region" numFmtId="0">
      <sharedItems/>
    </cacheField>
    <cacheField name="Sales_Amount" numFmtId="0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 containsBlank="1"/>
    </cacheField>
    <cacheField name="Unit_Cost" numFmtId="0">
      <sharedItems containsSemiMixedTypes="0" containsString="0" containsNumber="1" minValue="60.28" maxValue="4995.3"/>
    </cacheField>
    <cacheField name="Unit_Price" numFmtId="0">
      <sharedItems containsSemiMixedTypes="0" containsString="0" containsNumber="1" minValue="167.12" maxValue="5442.15"/>
    </cacheField>
    <cacheField name="Customer_Type" numFmtId="0">
      <sharedItems count="2">
        <s v="Returning"/>
        <s v="New"/>
      </sharedItems>
    </cacheField>
    <cacheField name="Discount" numFmtId="9">
      <sharedItems containsSemiMixedTypes="0" containsString="0" containsNumber="1" minValue="0" maxValue="0.3"/>
    </cacheField>
    <cacheField name="Payment_Method" numFmtId="0">
      <sharedItems/>
    </cacheField>
    <cacheField name="Sales_Channel" numFmtId="0">
      <sharedItems count="2">
        <s v="Online"/>
        <s v="Retail"/>
      </sharedItems>
    </cacheField>
    <cacheField name="Region_and_Sales_Rep" numFmtId="0">
      <sharedItems/>
    </cacheField>
    <cacheField name="Discount_Fixed" numFmtId="9">
      <sharedItems containsSemiMixedTypes="0" containsString="0" containsNumber="1" minValue="0" maxValue="0.3"/>
    </cacheField>
    <cacheField name="Net_Revenue" numFmtId="0">
      <sharedItems containsSemiMixedTypes="0" containsString="0" containsNumber="1" minValue="84.100800000000007" maxValue="9715.867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52"/>
    <d v="2023-02-03T00:00:00"/>
    <s v="Bob"/>
    <x v="0"/>
    <n v="4446.3626999999997"/>
    <n v="454.85730000000001"/>
    <n v="5053.97"/>
    <n v="18"/>
    <s v="Furniture"/>
    <n v="152.75"/>
    <n v="267.22000000000003"/>
    <s v="Returning"/>
    <n v="0.09"/>
    <x v="0"/>
    <s v="Cash"/>
    <s v="Online"/>
    <s v="North-Bob"/>
    <x v="0"/>
  </r>
  <r>
    <n v="1093"/>
    <d v="2023-04-21T00:00:00"/>
    <s v="Bob"/>
    <x v="1"/>
    <n v="85.387799999999999"/>
    <n v="482.24220000000003"/>
    <n v="4384.0200000000004"/>
    <n v="17"/>
    <s v="Furniture"/>
    <n v="3816.39"/>
    <n v="4209.4399999999996"/>
    <s v="Returning"/>
    <n v="0.11"/>
    <x v="1"/>
    <s v="Cash"/>
    <s v="Retail"/>
    <s v="West-Bob"/>
    <x v="1"/>
  </r>
  <r>
    <n v="1015"/>
    <d v="2023-09-21T00:00:00"/>
    <s v="David"/>
    <x v="2"/>
    <n v="3443.424"/>
    <n v="926.24599999999998"/>
    <n v="4631.2299999999996"/>
    <n v="30"/>
    <s v="Food"/>
    <n v="261.56"/>
    <n v="371.4"/>
    <s v="Returning"/>
    <n v="0.2"/>
    <x v="2"/>
    <s v="Bank Transfer"/>
    <s v="Retail"/>
    <s v="South-David"/>
    <x v="2"/>
  </r>
  <r>
    <n v="1072"/>
    <d v="2023-08-24T00:00:00"/>
    <s v="Bob"/>
    <x v="2"/>
    <n v="-2205.4488000000001"/>
    <n v="43.358800000000002"/>
    <n v="2167.94"/>
    <n v="39"/>
    <s v="Clothing"/>
    <n v="4330.03"/>
    <n v="4467.75"/>
    <s v="New"/>
    <n v="0.02"/>
    <x v="3"/>
    <s v="Credit Card"/>
    <s v="Retail"/>
    <s v="South-Bob"/>
    <x v="3"/>
  </r>
  <r>
    <n v="1061"/>
    <d v="2023-03-24T00:00:00"/>
    <s v="Charlie"/>
    <x v="3"/>
    <n v="2812.8139999999999"/>
    <n v="300.01600000000002"/>
    <n v="3750.2"/>
    <n v="13"/>
    <s v="Electronics"/>
    <n v="637.37"/>
    <n v="692.71"/>
    <s v="New"/>
    <n v="0.08"/>
    <x v="4"/>
    <s v="Credit Card"/>
    <s v="Online"/>
    <s v="East-Charlie"/>
    <x v="4"/>
  </r>
  <r>
    <n v="1021"/>
    <d v="2023-02-11T00:00:00"/>
    <s v="Charlie"/>
    <x v="1"/>
    <n v="2070.5185000000001"/>
    <n v="789.8415"/>
    <n v="3761.15"/>
    <n v="32"/>
    <s v="Food"/>
    <n v="900.79"/>
    <n v="1106.51"/>
    <s v="New"/>
    <n v="0.21"/>
    <x v="5"/>
    <s v="Cash"/>
    <s v="Online"/>
    <s v="West-Charlie"/>
    <x v="5"/>
  </r>
  <r>
    <n v="1083"/>
    <d v="2023-04-11T00:00:00"/>
    <s v="Bob"/>
    <x v="1"/>
    <n v="-1877.0634"/>
    <n v="86.563400000000001"/>
    <n v="618.30999999999995"/>
    <n v="29"/>
    <s v="Furniture"/>
    <n v="2408.81"/>
    <n v="2624.09"/>
    <s v="Returning"/>
    <n v="0.14000000000000001"/>
    <x v="6"/>
    <s v="Cash"/>
    <s v="Online"/>
    <s v="West-Bob"/>
    <x v="6"/>
  </r>
  <r>
    <n v="1087"/>
    <d v="2023-01-06T00:00:00"/>
    <s v="Eve"/>
    <x v="2"/>
    <n v="3072.5396000000001"/>
    <n v="923.87040000000002"/>
    <n v="7698.92"/>
    <n v="46"/>
    <s v="Furniture"/>
    <n v="3702.51"/>
    <n v="3964.65"/>
    <s v="New"/>
    <n v="0.12"/>
    <x v="7"/>
    <s v="Bank Transfer"/>
    <s v="Online"/>
    <s v="South-Eve"/>
    <x v="7"/>
  </r>
  <r>
    <n v="1075"/>
    <d v="2023-06-29T00:00:00"/>
    <s v="David"/>
    <x v="2"/>
    <n v="3274.1605"/>
    <n v="211.1695"/>
    <n v="4223.3900000000003"/>
    <n v="30"/>
    <s v="Furniture"/>
    <n v="738.06"/>
    <n v="1095.44999999999"/>
    <s v="New"/>
    <n v="0.05"/>
    <x v="8"/>
    <s v="Bank Transfer"/>
    <s v="Online"/>
    <s v="South-David"/>
    <x v="8"/>
  </r>
  <r>
    <n v="1088"/>
    <d v="2023-11-16T00:00:00"/>
    <s v="Eve"/>
    <x v="0"/>
    <n v="4119.0964999999997"/>
    <n v="1959.2435"/>
    <n v="8518.4500000000007"/>
    <n v="13"/>
    <s v="Furniture"/>
    <n v="2440.11"/>
    <n v="2517.6"/>
    <s v="New"/>
    <n v="0.23"/>
    <x v="9"/>
    <s v="Bank Transfer"/>
    <s v="Retail"/>
    <s v="North-Eve"/>
    <x v="9"/>
  </r>
  <r>
    <n v="1100"/>
    <d v="2023-08-14T00:00:00"/>
    <s v="Bob"/>
    <x v="1"/>
    <n v="922.0308"/>
    <n v="175.89920000000001"/>
    <n v="2198.7399999999998"/>
    <n v="43"/>
    <s v="Food"/>
    <n v="1100.81"/>
    <n v="1137.44"/>
    <s v="Returning"/>
    <n v="0.08"/>
    <x v="4"/>
    <s v="Bank Transfer"/>
    <s v="Online"/>
    <s v="West-Bob"/>
    <x v="10"/>
  </r>
  <r>
    <n v="1024"/>
    <d v="2023-11-11T00:00:00"/>
    <s v="Eve"/>
    <x v="1"/>
    <n v="5985.79"/>
    <n v="0"/>
    <n v="6607.8"/>
    <n v="21"/>
    <s v="Food"/>
    <n v="622.01"/>
    <n v="641.09"/>
    <s v="Returning"/>
    <n v="0"/>
    <x v="10"/>
    <s v="Bank Transfer"/>
    <s v="Retail"/>
    <s v="West-Eve"/>
    <x v="11"/>
  </r>
  <r>
    <n v="1003"/>
    <d v="2023-12-31T00:00:00"/>
    <s v="Alice"/>
    <x v="2"/>
    <n v="-369.80799999999999"/>
    <n v="955.11800000000005"/>
    <n v="4775.59"/>
    <n v="30"/>
    <s v="Furniture"/>
    <n v="4190.28"/>
    <n v="4270.6499999999996"/>
    <s v="New"/>
    <n v="0.2"/>
    <x v="2"/>
    <s v="Cash"/>
    <s v="Online"/>
    <s v="South-Alice"/>
    <x v="12"/>
  </r>
  <r>
    <n v="1022"/>
    <d v="2023-08-17T00:00:00"/>
    <s v="Charlie"/>
    <x v="2"/>
    <n v="3720.4205000000002"/>
    <n v="2555.9295000000002"/>
    <n v="8813.5499999999993"/>
    <n v="21"/>
    <s v="Food"/>
    <n v="2537.1999999999998"/>
    <n v="2869.6"/>
    <s v="New"/>
    <n v="0.28999999999999998"/>
    <x v="11"/>
    <s v="Bank Transfer"/>
    <s v="Retail"/>
    <s v="South-Charlie"/>
    <x v="13"/>
  </r>
  <r>
    <n v="1053"/>
    <d v="2023-10-16T00:00:00"/>
    <s v="Bob"/>
    <x v="0"/>
    <n v="1712.1905999999999"/>
    <n v="402.44940000000003"/>
    <n v="2235.83"/>
    <n v="48"/>
    <s v="Furniture"/>
    <n v="121.19"/>
    <n v="487.65"/>
    <s v="New"/>
    <n v="0.18"/>
    <x v="12"/>
    <s v="Cash"/>
    <s v="Retail"/>
    <s v="North-Bob"/>
    <x v="14"/>
  </r>
  <r>
    <n v="1002"/>
    <d v="2023-05-30T00:00:00"/>
    <s v="David"/>
    <x v="0"/>
    <n v="2513.1759999999999"/>
    <n v="272.41399999999999"/>
    <n v="6810.35"/>
    <n v="17"/>
    <s v="Furniture"/>
    <n v="4024.76"/>
    <n v="4420.1499999999996"/>
    <s v="Returning"/>
    <n v="0.04"/>
    <x v="13"/>
    <s v="Cash"/>
    <s v="Online"/>
    <s v="North-David"/>
    <x v="15"/>
  </r>
  <r>
    <n v="1030"/>
    <d v="2023-07-17T00:00:00"/>
    <s v="David"/>
    <x v="1"/>
    <n v="-811.95479999999998"/>
    <n v="786.10479999999995"/>
    <n v="3023.48"/>
    <n v="19"/>
    <s v="Clothing"/>
    <n v="3049.33"/>
    <n v="3209.22"/>
    <s v="Returning"/>
    <n v="0.26"/>
    <x v="14"/>
    <s v="Cash"/>
    <s v="Online"/>
    <s v="West-David"/>
    <x v="16"/>
  </r>
  <r>
    <n v="1038"/>
    <d v="2023-03-11T00:00:00"/>
    <s v="Bob"/>
    <x v="2"/>
    <n v="-1192.6745000000001"/>
    <n v="101.6645"/>
    <n v="1452.35"/>
    <n v="15"/>
    <s v="Clothing"/>
    <n v="2543.36"/>
    <n v="2790.1"/>
    <s v="Returning"/>
    <n v="7.0000000000000007E-2"/>
    <x v="15"/>
    <s v="Cash"/>
    <s v="Online"/>
    <s v="South-Bob"/>
    <x v="17"/>
  </r>
  <r>
    <n v="1064"/>
    <d v="2023-01-04T00:00:00"/>
    <s v="Eve"/>
    <x v="3"/>
    <n v="1757.6967999999999"/>
    <n v="889.45320000000004"/>
    <n v="7412.11"/>
    <n v="10"/>
    <s v="Electronics"/>
    <n v="4764.96"/>
    <n v="5074.42"/>
    <s v="New"/>
    <n v="0.12"/>
    <x v="7"/>
    <s v="Cash"/>
    <s v="Online"/>
    <s v="East-Eve"/>
    <x v="18"/>
  </r>
  <r>
    <n v="1060"/>
    <d v="2023-12-16T00:00:00"/>
    <s v="Eve"/>
    <x v="3"/>
    <n v="-753.73260000000005"/>
    <n v="193.48259999999999"/>
    <n v="3224.71"/>
    <n v="44"/>
    <s v="Clothing"/>
    <n v="3784.96"/>
    <n v="4276.99"/>
    <s v="New"/>
    <n v="0.06"/>
    <x v="16"/>
    <s v="Bank Transfer"/>
    <s v="Retail"/>
    <s v="East-Eve"/>
    <x v="19"/>
  </r>
  <r>
    <n v="1033"/>
    <d v="2023-11-14T00:00:00"/>
    <s v="David"/>
    <x v="2"/>
    <n v="147.70400000000001"/>
    <n v="882.596"/>
    <n v="4011.8"/>
    <n v="23"/>
    <s v="Furniture"/>
    <n v="2981.5"/>
    <n v="3360.4"/>
    <s v="Returning"/>
    <n v="0.22"/>
    <x v="17"/>
    <s v="Bank Transfer"/>
    <s v="Retail"/>
    <s v="South-David"/>
    <x v="20"/>
  </r>
  <r>
    <n v="1076"/>
    <d v="2023-12-16T00:00:00"/>
    <s v="Eve"/>
    <x v="3"/>
    <n v="2208.9699999999998"/>
    <n v="1432.15"/>
    <n v="7160.75"/>
    <n v="30"/>
    <s v="Clothing"/>
    <n v="3519.63"/>
    <n v="3774.65"/>
    <s v="New"/>
    <n v="0.2"/>
    <x v="2"/>
    <s v="Credit Card"/>
    <s v="Retail"/>
    <s v="East-Eve"/>
    <x v="21"/>
  </r>
  <r>
    <n v="1058"/>
    <d v="2023-04-05T00:00:00"/>
    <s v="Alice"/>
    <x v="0"/>
    <n v="915.52390000000003"/>
    <n v="145.05609999999999"/>
    <n v="2072.23"/>
    <n v="33"/>
    <s v="Furniture"/>
    <n v="1011.65"/>
    <n v="1084.28"/>
    <s v="Returning"/>
    <n v="7.0000000000000007E-2"/>
    <x v="15"/>
    <s v="Bank Transfer"/>
    <s v="Retail"/>
    <s v="North-Alice"/>
    <x v="22"/>
  </r>
  <r>
    <n v="1089"/>
    <d v="2023-11-07T00:00:00"/>
    <s v="Bob"/>
    <x v="1"/>
    <n v="-1712.9712"/>
    <n v="500.71120000000002"/>
    <n v="2945.36"/>
    <n v="47"/>
    <s v="Furniture"/>
    <n v="4157.62"/>
    <n v="4314.5599999999904"/>
    <s v="New"/>
    <n v="0.17"/>
    <x v="18"/>
    <s v="Bank Transfer"/>
    <s v="Retail"/>
    <s v="West-Bob"/>
    <x v="23"/>
  </r>
  <r>
    <n v="1049"/>
    <d v="2023-05-17T00:00:00"/>
    <s v="Alice"/>
    <x v="1"/>
    <n v="-185.7936"/>
    <n v="635.98360000000002"/>
    <n v="3741.08"/>
    <n v="1"/>
    <s v="Furniture"/>
    <n v="3290.89"/>
    <n v="3317.75"/>
    <s v="Returning"/>
    <n v="0.17"/>
    <x v="18"/>
    <s v="Bank Transfer"/>
    <s v="Online"/>
    <s v="West-Alice"/>
    <x v="24"/>
  </r>
  <r>
    <n v="1091"/>
    <d v="2023-09-04T00:00:00"/>
    <s v="Charlie"/>
    <x v="2"/>
    <n v="-1450.8566000000001"/>
    <n v="40.506599999999999"/>
    <n v="675.11"/>
    <n v="44"/>
    <s v="Food"/>
    <n v="2085.46"/>
    <n v="2406.58"/>
    <s v="Returning"/>
    <n v="0.06"/>
    <x v="16"/>
    <s v="Bank Transfer"/>
    <s v="Retail"/>
    <s v="South-Charlie"/>
    <x v="25"/>
  </r>
  <r>
    <n v="1059"/>
    <d v="2023-08-31T00:00:00"/>
    <s v="Alice"/>
    <x v="0"/>
    <n v="-2153.7494000000002"/>
    <n v="24.0794"/>
    <n v="1203.97"/>
    <n v="35"/>
    <s v="Food"/>
    <n v="3333.64"/>
    <n v="3764.52"/>
    <s v="Returning"/>
    <n v="0.02"/>
    <x v="3"/>
    <s v="Credit Card"/>
    <s v="Online"/>
    <s v="North-Alice"/>
    <x v="26"/>
  </r>
  <r>
    <n v="1042"/>
    <d v="2023-01-31T00:00:00"/>
    <s v="Alice"/>
    <x v="0"/>
    <n v="4467.6894000000002"/>
    <n v="104.14060000000001"/>
    <n v="5207.03"/>
    <n v="11"/>
    <s v="Food"/>
    <n v="635.20000000000005"/>
    <n v="814.14"/>
    <s v="Returning"/>
    <n v="0.02"/>
    <x v="3"/>
    <s v="Cash"/>
    <s v="Online"/>
    <s v="North-Alice"/>
    <x v="27"/>
  </r>
  <r>
    <n v="1092"/>
    <d v="2023-02-09T00:00:00"/>
    <s v="David"/>
    <x v="1"/>
    <n v="-112.991"/>
    <n v="824.75099999999998"/>
    <n v="2749.17"/>
    <n v="34"/>
    <s v="Furniture"/>
    <n v="2037.41"/>
    <n v="2238.65"/>
    <s v="New"/>
    <n v="0.3"/>
    <x v="19"/>
    <s v="Credit Card"/>
    <s v="Online"/>
    <s v="West-David"/>
    <x v="28"/>
  </r>
  <r>
    <n v="1080"/>
    <d v="2023-02-05T00:00:00"/>
    <s v="Charlie"/>
    <x v="2"/>
    <n v="-964.78880000000004"/>
    <n v="68.728800000000007"/>
    <n v="245.46"/>
    <n v="9"/>
    <s v="Electronics"/>
    <n v="1141.52"/>
    <n v="1550.19"/>
    <s v="New"/>
    <n v="0.28000000000000003"/>
    <x v="20"/>
    <s v="Credit Card"/>
    <s v="Retail"/>
    <s v="South-Charlie"/>
    <x v="29"/>
  </r>
  <r>
    <n v="1062"/>
    <d v="2023-01-06T00:00:00"/>
    <s v="Eve"/>
    <x v="3"/>
    <n v="-2314.3488000000002"/>
    <n v="997.51880000000006"/>
    <n v="3439.72"/>
    <n v="15"/>
    <s v="Clothing"/>
    <n v="4756.55"/>
    <n v="4888.46"/>
    <s v="New"/>
    <n v="0.28999999999999998"/>
    <x v="11"/>
    <s v="Credit Card"/>
    <s v="Online"/>
    <s v="East-Eve"/>
    <x v="30"/>
  </r>
  <r>
    <n v="1047"/>
    <d v="2023-08-08T00:00:00"/>
    <s v="David"/>
    <x v="0"/>
    <n v="-209.98750000000001"/>
    <n v="199.6875"/>
    <n v="1331.25"/>
    <n v="33"/>
    <s v="Electronics"/>
    <n v="1341.55"/>
    <n v="1427.21"/>
    <s v="Returning"/>
    <n v="0.15"/>
    <x v="21"/>
    <s v="Credit Card"/>
    <s v="Online"/>
    <s v="North-David"/>
    <x v="31"/>
  </r>
  <r>
    <n v="1051"/>
    <d v="2023-01-04T00:00:00"/>
    <s v="Eve"/>
    <x v="0"/>
    <n v="794.61400000000003"/>
    <n v="497.93599999999998"/>
    <n v="4979.3599999999997"/>
    <n v="14"/>
    <s v="Electronics"/>
    <n v="3686.81"/>
    <n v="3710.92"/>
    <s v="New"/>
    <n v="0.1"/>
    <x v="22"/>
    <s v="Bank Transfer"/>
    <s v="Retail"/>
    <s v="North-Eve"/>
    <x v="32"/>
  </r>
  <r>
    <n v="1055"/>
    <d v="2023-12-01T00:00:00"/>
    <s v="Charlie"/>
    <x v="1"/>
    <n v="56.148899999999998"/>
    <n v="533.3211"/>
    <n v="4102.47"/>
    <n v="8"/>
    <s v="Furniture"/>
    <n v="3513"/>
    <n v="3838.42"/>
    <s v="Returning"/>
    <n v="0.13"/>
    <x v="23"/>
    <s v="Bank Transfer"/>
    <s v="Online"/>
    <s v="West-Charlie"/>
    <x v="33"/>
  </r>
  <r>
    <n v="1007"/>
    <d v="2023-03-03T00:00:00"/>
    <s v="Eve"/>
    <x v="1"/>
    <n v="1212.3720000000001"/>
    <n v="938.90800000000002"/>
    <n v="4694.54"/>
    <n v="1"/>
    <s v="Food"/>
    <n v="2543.2600000000002"/>
    <n v="2637.91"/>
    <s v="Returning"/>
    <n v="0.2"/>
    <x v="2"/>
    <s v="Credit Card"/>
    <s v="Online"/>
    <s v="West-Eve"/>
    <x v="34"/>
  </r>
  <r>
    <n v="1073"/>
    <d v="2023-12-01T00:00:00"/>
    <s v="David"/>
    <x v="1"/>
    <n v="1782.5886"/>
    <n v="890.53139999999996"/>
    <n v="5238.42"/>
    <n v="40"/>
    <s v="Furniture"/>
    <n v="2565.3000000000002"/>
    <n v="3007.47"/>
    <s v="Returning"/>
    <n v="0.17"/>
    <x v="18"/>
    <s v="Credit Card"/>
    <s v="Retail"/>
    <s v="West-David"/>
    <x v="35"/>
  </r>
  <r>
    <n v="1039"/>
    <d v="2023-07-22T00:00:00"/>
    <s v="Alice"/>
    <x v="3"/>
    <n v="2394.0227"/>
    <n v="1293.4573"/>
    <n v="6807.67"/>
    <n v="42"/>
    <s v="Clothing"/>
    <n v="3120.19"/>
    <n v="3600.14"/>
    <s v="Returning"/>
    <n v="0.19"/>
    <x v="24"/>
    <s v="Credit Card"/>
    <s v="Retail"/>
    <s v="East-Alice"/>
    <x v="36"/>
  </r>
  <r>
    <n v="1018"/>
    <d v="2023-01-26T00:00:00"/>
    <s v="Alice"/>
    <x v="3"/>
    <n v="772.63"/>
    <n v="0"/>
    <n v="3187.45"/>
    <n v="11"/>
    <s v="Clothing"/>
    <n v="2414.8200000000002"/>
    <n v="2519.0700000000002"/>
    <s v="Returning"/>
    <n v="0"/>
    <x v="10"/>
    <s v="Cash"/>
    <s v="Online"/>
    <s v="East-Alice"/>
    <x v="37"/>
  </r>
  <r>
    <n v="1004"/>
    <d v="2023-06-22T00:00:00"/>
    <s v="Eve"/>
    <x v="2"/>
    <n v="4957.4944999999998"/>
    <n v="388.12549999999999"/>
    <n v="7762.51"/>
    <n v="39"/>
    <s v="Electronics"/>
    <n v="2416.89"/>
    <n v="2778.3999999999901"/>
    <s v="Returning"/>
    <n v="0.05"/>
    <x v="8"/>
    <s v="Cash"/>
    <s v="Online"/>
    <s v="South-Eve"/>
    <x v="38"/>
  </r>
  <r>
    <n v="1014"/>
    <d v="2023-11-22T00:00:00"/>
    <s v="David"/>
    <x v="1"/>
    <n v="4625.3819999999996"/>
    <n v="1952.508"/>
    <n v="9762.5400000000009"/>
    <n v="17"/>
    <s v="Food"/>
    <n v="3184.65"/>
    <n v="3204.01"/>
    <s v="New"/>
    <n v="0.2"/>
    <x v="2"/>
    <s v="Bank Transfer"/>
    <s v="Online"/>
    <s v="West-David"/>
    <x v="39"/>
  </r>
  <r>
    <n v="1009"/>
    <d v="2023-04-28T00:00:00"/>
    <s v="Alice"/>
    <x v="0"/>
    <n v="-1003.0975"/>
    <n v="67.147499999999994"/>
    <n v="1342.95"/>
    <n v="33"/>
    <s v="Clothing"/>
    <n v="2278.9"/>
    <n v="2626.9"/>
    <s v="New"/>
    <n v="0.05"/>
    <x v="8"/>
    <s v="Credit Card"/>
    <s v="Online"/>
    <s v="North-Alice"/>
    <x v="40"/>
  </r>
  <r>
    <n v="1090"/>
    <d v="2023-11-20T00:00:00"/>
    <s v="Alice"/>
    <x v="1"/>
    <n v="-2470.1215999999999"/>
    <n v="58.9116"/>
    <n v="267.77999999999997"/>
    <n v="32"/>
    <s v="Electronics"/>
    <n v="2678.99"/>
    <n v="3152.2799999999902"/>
    <s v="Returning"/>
    <n v="0.22"/>
    <x v="17"/>
    <s v="Cash"/>
    <s v="Retail"/>
    <s v="West-Alice"/>
    <x v="41"/>
  </r>
  <r>
    <n v="1084"/>
    <d v="2023-08-13T00:00:00"/>
    <s v="Alice"/>
    <x v="1"/>
    <n v="-2311.134"/>
    <n v="103.20399999999999"/>
    <n v="1290.05"/>
    <n v="21"/>
    <s v="Furniture"/>
    <n v="3497.98"/>
    <n v="3765.31"/>
    <s v="New"/>
    <n v="0.08"/>
    <x v="4"/>
    <s v="Cash"/>
    <s v="Online"/>
    <s v="West-Alice"/>
    <x v="42"/>
  </r>
  <r>
    <n v="1071"/>
    <d v="2023-05-20T00:00:00"/>
    <s v="Eve"/>
    <x v="1"/>
    <n v="-7.6955999999999998"/>
    <n v="180.22559999999999"/>
    <n v="3003.76"/>
    <n v="6"/>
    <s v="Furniture"/>
    <n v="2831.23"/>
    <n v="3206.98"/>
    <s v="Returning"/>
    <n v="0.06"/>
    <x v="16"/>
    <s v="Bank Transfer"/>
    <s v="Retail"/>
    <s v="West-Eve"/>
    <x v="43"/>
  </r>
  <r>
    <n v="1044"/>
    <d v="2023-02-16T00:00:00"/>
    <s v="David"/>
    <x v="2"/>
    <n v="2674.7379999999998"/>
    <n v="1705.902"/>
    <n v="7754.1"/>
    <n v="22"/>
    <s v="Food"/>
    <n v="3373.46"/>
    <n v="3454.76"/>
    <s v="Returning"/>
    <n v="0.22"/>
    <x v="17"/>
    <s v="Bank Transfer"/>
    <s v="Retail"/>
    <s v="South-David"/>
    <x v="44"/>
  </r>
  <r>
    <n v="1008"/>
    <d v="2023-01-01T00:00:00"/>
    <s v="Eve"/>
    <x v="0"/>
    <n v="331.18950000000001"/>
    <n v="261.39049999999997"/>
    <n v="5227.8100000000004"/>
    <n v="38"/>
    <s v="Clothing"/>
    <n v="4635.2299999999996"/>
    <n v="5075.4399999999996"/>
    <s v="Returning"/>
    <n v="0.05"/>
    <x v="8"/>
    <s v="Cash"/>
    <s v="Online"/>
    <s v="North-Eve"/>
    <x v="45"/>
  </r>
  <r>
    <n v="1035"/>
    <d v="2023-05-22T00:00:00"/>
    <s v="Alice"/>
    <x v="2"/>
    <n v="-919.60299999999995"/>
    <n v="567.03300000000002"/>
    <n v="3780.22"/>
    <n v="45"/>
    <s v="Food"/>
    <n v="4132.79"/>
    <n v="4624.1000000000004"/>
    <s v="New"/>
    <n v="0.15"/>
    <x v="21"/>
    <s v="Credit Card"/>
    <s v="Retail"/>
    <s v="South-Alice"/>
    <x v="46"/>
  </r>
  <r>
    <n v="1078"/>
    <d v="2023-11-16T00:00:00"/>
    <s v="David"/>
    <x v="3"/>
    <n v="-3349.6120000000001"/>
    <n v="3.4020000000000001"/>
    <n v="113.4"/>
    <n v="8"/>
    <s v="Furniture"/>
    <n v="3459.61"/>
    <n v="3657.23"/>
    <s v="Returning"/>
    <n v="0.03"/>
    <x v="25"/>
    <s v="Bank Transfer"/>
    <s v="Online"/>
    <s v="East-David"/>
    <x v="47"/>
  </r>
  <r>
    <n v="1081"/>
    <d v="2023-02-07T00:00:00"/>
    <s v="David"/>
    <x v="3"/>
    <n v="-358.33629999999999"/>
    <n v="644.28629999999998"/>
    <n v="3068.03"/>
    <n v="41"/>
    <s v="Furniture"/>
    <n v="2782.08"/>
    <n v="2879.24"/>
    <s v="New"/>
    <n v="0.21"/>
    <x v="5"/>
    <s v="Bank Transfer"/>
    <s v="Online"/>
    <s v="East-David"/>
    <x v="48"/>
  </r>
  <r>
    <n v="1036"/>
    <d v="2023-10-20T00:00:00"/>
    <s v="David"/>
    <x v="0"/>
    <n v="4212.8495999999996"/>
    <n v="1039.9903999999999"/>
    <n v="6499.94"/>
    <n v="49"/>
    <s v="Clothing"/>
    <n v="1247.0999999999999"/>
    <n v="1429.4399999999901"/>
    <s v="New"/>
    <n v="0.16"/>
    <x v="26"/>
    <s v="Cash"/>
    <s v="Online"/>
    <s v="North-David"/>
    <x v="49"/>
  </r>
  <r>
    <n v="1050"/>
    <d v="2023-05-19T00:00:00"/>
    <s v="Charlie"/>
    <x v="3"/>
    <n v="6708.8231999999998"/>
    <n v="877.0068"/>
    <n v="9744.52"/>
    <n v="35"/>
    <s v="Clothing"/>
    <n v="2158.69"/>
    <n v="2384.38"/>
    <s v="Returning"/>
    <n v="0.09"/>
    <x v="0"/>
    <s v="Bank Transfer"/>
    <s v="Retail"/>
    <s v="East-Charlie"/>
    <x v="50"/>
  </r>
  <r>
    <n v="1006"/>
    <d v="2023-09-16T00:00:00"/>
    <s v="Bob"/>
    <x v="0"/>
    <n v="5432.33"/>
    <n v="719.66"/>
    <n v="8995.75"/>
    <n v="49"/>
    <s v="Food"/>
    <n v="2843.76"/>
    <n v="3146.6"/>
    <s v="New"/>
    <n v="0.08"/>
    <x v="4"/>
    <s v="Cash"/>
    <s v="Retail"/>
    <s v="North-Bob"/>
    <x v="51"/>
  </r>
  <r>
    <n v="1054"/>
    <d v="2023-06-10T00:00:00"/>
    <s v="Bob"/>
    <x v="2"/>
    <n v="2792.837"/>
    <n v="392.68299999999999"/>
    <n v="7853.66"/>
    <n v="21"/>
    <s v="Furniture"/>
    <n v="4668.1400000000003"/>
    <n v="5040.22"/>
    <s v="New"/>
    <n v="0.05"/>
    <x v="8"/>
    <s v="Bank Transfer"/>
    <s v="Online"/>
    <s v="South-Bob"/>
    <x v="52"/>
  </r>
  <r>
    <n v="1063"/>
    <d v="2023-05-18T00:00:00"/>
    <s v="Bob"/>
    <x v="1"/>
    <n v="-1129.5826999999999"/>
    <n v="650.7627"/>
    <n v="3098.87"/>
    <n v="39"/>
    <s v="Food"/>
    <n v="3577.69"/>
    <n v="3931.25"/>
    <s v="Returning"/>
    <n v="0.21"/>
    <x v="5"/>
    <s v="Cash"/>
    <s v="Retail"/>
    <s v="West-Bob"/>
    <x v="53"/>
  </r>
  <r>
    <n v="1034"/>
    <d v="2023-05-10T00:00:00"/>
    <s v="Eve"/>
    <x v="3"/>
    <n v="2138.4488000000001"/>
    <n v="831.70119999999997"/>
    <n v="4892.3599999999997"/>
    <n v="19"/>
    <s v="Clothing"/>
    <n v="1922.21"/>
    <n v="2180.83"/>
    <s v="Returning"/>
    <n v="0.17"/>
    <x v="18"/>
    <s v="Credit Card"/>
    <s v="Retail"/>
    <s v="East-Eve"/>
    <x v="54"/>
  </r>
  <r>
    <n v="1074"/>
    <d v="2023-03-25T00:00:00"/>
    <s v="Eve"/>
    <x v="1"/>
    <n v="3464.1570000000002"/>
    <n v="1424.943"/>
    <n v="7499.7"/>
    <n v="38"/>
    <s v="Food"/>
    <n v="2610.6"/>
    <n v="2836.94"/>
    <s v="Returning"/>
    <n v="0.19"/>
    <x v="24"/>
    <s v="Credit Card"/>
    <s v="Online"/>
    <s v="West-Eve"/>
    <x v="55"/>
  </r>
  <r>
    <n v="1095"/>
    <d v="2023-11-25T00:00:00"/>
    <s v="Alice"/>
    <x v="3"/>
    <n v="8081.9030000000002"/>
    <n v="943.29700000000003"/>
    <n v="9432.9699999999993"/>
    <n v="37"/>
    <s v="Electronics"/>
    <n v="407.77"/>
    <n v="860.95"/>
    <s v="New"/>
    <n v="0.1"/>
    <x v="22"/>
    <s v="Credit Card"/>
    <s v="Retail"/>
    <s v="East-Alice"/>
    <x v="56"/>
  </r>
  <r>
    <n v="1048"/>
    <d v="2023-09-30T00:00:00"/>
    <s v="Charlie"/>
    <x v="0"/>
    <n v="3241.0963999999999"/>
    <n v="1732.1436000000001"/>
    <n v="7873.38"/>
    <n v="4"/>
    <s v="Furniture"/>
    <n v="2900.14"/>
    <n v="2910.5099999999902"/>
    <s v="New"/>
    <n v="0.22"/>
    <x v="17"/>
    <s v="Credit Card"/>
    <s v="Retail"/>
    <s v="North-Charlie"/>
    <x v="57"/>
  </r>
  <r>
    <n v="1040"/>
    <d v="2023-03-10T00:00:00"/>
    <s v="Charlie"/>
    <x v="3"/>
    <n v="-978.41480000000001"/>
    <n v="559.50480000000005"/>
    <n v="2331.27"/>
    <n v="13"/>
    <s v="Clothing"/>
    <n v="2750.18"/>
    <n v="2882.85"/>
    <s v="Returning"/>
    <n v="0.24"/>
    <x v="27"/>
    <s v="Credit Card"/>
    <s v="Online"/>
    <s v="East-Charlie"/>
    <x v="58"/>
  </r>
  <r>
    <n v="1085"/>
    <d v="2023-11-14T00:00:00"/>
    <s v="Charlie"/>
    <x v="2"/>
    <n v="882.27"/>
    <n v="81.55"/>
    <n v="2038.75"/>
    <n v="32"/>
    <s v="Furniture"/>
    <n v="1074.93"/>
    <n v="1492.48"/>
    <s v="Returning"/>
    <n v="0.04"/>
    <x v="13"/>
    <s v="Credit Card"/>
    <s v="Retail"/>
    <s v="South-Charlie"/>
    <x v="59"/>
  </r>
  <r>
    <n v="1082"/>
    <d v="2023-11-30T00:00:00"/>
    <s v="Alice"/>
    <x v="2"/>
    <n v="3750.4810000000002"/>
    <n v="1314.999"/>
    <n v="6261.9"/>
    <n v="41"/>
    <s v="Electronics"/>
    <n v="1196.42"/>
    <n v="1444.97"/>
    <s v="Returning"/>
    <n v="0.21"/>
    <x v="5"/>
    <s v="Bank Transfer"/>
    <s v="Online"/>
    <s v="South-Alice"/>
    <x v="60"/>
  </r>
  <r>
    <n v="1026"/>
    <d v="2023-02-04T00:00:00"/>
    <s v="Alice"/>
    <x v="1"/>
    <n v="211.70349999999999"/>
    <n v="77.746499999999997"/>
    <n v="1554.93"/>
    <n v="19"/>
    <s v="Electronics"/>
    <n v="1265.48"/>
    <n v="1715.83"/>
    <s v="New"/>
    <n v="0.05"/>
    <x v="8"/>
    <s v="Credit Card"/>
    <s v="Retail"/>
    <s v="West-Alice"/>
    <x v="61"/>
  </r>
  <r>
    <n v="1041"/>
    <d v="2023-11-16T00:00:00"/>
    <s v="David"/>
    <x v="2"/>
    <n v="2631.2687999999998"/>
    <n v="709.71119999999996"/>
    <n v="3942.84"/>
    <n v="40"/>
    <s v="Food"/>
    <n v="601.86"/>
    <n v="1067.53"/>
    <s v="New"/>
    <n v="0.18"/>
    <x v="12"/>
    <s v="Cash"/>
    <s v="Online"/>
    <s v="South-David"/>
    <x v="62"/>
  </r>
  <r>
    <n v="1029"/>
    <d v="2023-03-01T00:00:00"/>
    <s v="David"/>
    <x v="3"/>
    <n v="2884.2764999999999"/>
    <n v="1016.0835"/>
    <n v="6773.89"/>
    <n v="28"/>
    <s v="Clothing"/>
    <n v="2873.53"/>
    <n v="3108.3"/>
    <s v="New"/>
    <n v="0.15"/>
    <x v="21"/>
    <s v="Credit Card"/>
    <s v="Retail"/>
    <s v="East-David"/>
    <x v="63"/>
  </r>
  <r>
    <n v="1045"/>
    <d v="2023-12-15T00:00:00"/>
    <s v="David"/>
    <x v="2"/>
    <n v="-422.08"/>
    <n v="351.74"/>
    <n v="3517.4"/>
    <n v="42"/>
    <s v="Clothing"/>
    <n v="3587.74"/>
    <n v="3745.91"/>
    <s v="Returning"/>
    <n v="0.1"/>
    <x v="22"/>
    <s v="Cash"/>
    <s v="Online"/>
    <s v="South-David"/>
    <x v="64"/>
  </r>
  <r>
    <n v="1065"/>
    <d v="2023-11-24T00:00:00"/>
    <s v="Bob"/>
    <x v="3"/>
    <n v="7760.3577999999998"/>
    <n v="183.66220000000001"/>
    <n v="9183.11"/>
    <n v="18"/>
    <s v="Food"/>
    <n v="1239.0899999999999"/>
    <n v="1273.98"/>
    <s v="New"/>
    <n v="0.02"/>
    <x v="3"/>
    <s v="Bank Transfer"/>
    <s v="Retail"/>
    <s v="East-Bob"/>
    <x v="65"/>
  </r>
  <r>
    <n v="1001"/>
    <d v="2023-11-12T00:00:00"/>
    <s v="Alice"/>
    <x v="0"/>
    <n v="-3006.5228999999999"/>
    <n v="64.422899999999998"/>
    <n v="715.81"/>
    <n v="8"/>
    <s v="Electronics"/>
    <n v="3657.91"/>
    <n v="3729.27"/>
    <s v="New"/>
    <n v="0.09"/>
    <x v="0"/>
    <s v="Bank Transfer"/>
    <s v="Retail"/>
    <s v="North-Alice"/>
    <x v="66"/>
  </r>
  <r>
    <n v="1011"/>
    <d v="2023-06-14T00:00:00"/>
    <s v="Alice"/>
    <x v="2"/>
    <n v="-196.6182"/>
    <n v="271.91820000000001"/>
    <n v="4531.97"/>
    <n v="38"/>
    <s v="Furniture"/>
    <n v="4456.67"/>
    <n v="4642.46"/>
    <s v="New"/>
    <n v="0.06"/>
    <x v="16"/>
    <s v="Bank Transfer"/>
    <s v="Online"/>
    <s v="South-Alice"/>
    <x v="67"/>
  </r>
  <r>
    <n v="1005"/>
    <d v="2023-03-30T00:00:00"/>
    <s v="Alice"/>
    <x v="3"/>
    <n v="6235.2803999999996"/>
    <n v="273.12959999999998"/>
    <n v="6828.24"/>
    <n v="12"/>
    <s v="Electronics"/>
    <n v="319.83"/>
    <n v="802.43"/>
    <s v="New"/>
    <n v="0.04"/>
    <x v="13"/>
    <s v="Credit Card"/>
    <s v="Retail"/>
    <s v="East-Alice"/>
    <x v="68"/>
  </r>
  <r>
    <n v="1028"/>
    <d v="2023-02-11T00:00:00"/>
    <s v="Alice"/>
    <x v="3"/>
    <n v="-152.59119999999999"/>
    <n v="451.13119999999998"/>
    <n v="2819.57"/>
    <n v="24"/>
    <s v="Clothing"/>
    <n v="2521.0300000000002"/>
    <n v="2766.05"/>
    <s v="Returning"/>
    <n v="0.16"/>
    <x v="26"/>
    <s v="Bank Transfer"/>
    <s v="Retail"/>
    <s v="East-Alice"/>
    <x v="69"/>
  </r>
  <r>
    <n v="1012"/>
    <d v="2023-10-22T00:00:00"/>
    <s v="David"/>
    <x v="0"/>
    <n v="1001.5051999999999"/>
    <n v="920.82479999999998"/>
    <n v="4384.88"/>
    <n v="34"/>
    <s v="Furniture"/>
    <n v="2462.5500000000002"/>
    <n v="2521.77"/>
    <s v="New"/>
    <n v="0.21"/>
    <x v="5"/>
    <s v="Bank Transfer"/>
    <s v="Retail"/>
    <s v="North-David"/>
    <x v="70"/>
  </r>
  <r>
    <n v="1023"/>
    <d v="2023-06-28T00:00:00"/>
    <s v="Eve"/>
    <x v="3"/>
    <n v="-2527.2550000000001"/>
    <n v="542.73500000000001"/>
    <n v="2170.94"/>
    <n v="9"/>
    <s v="Clothing"/>
    <n v="4155.46"/>
    <n v="4273.6000000000004"/>
    <s v="Returning"/>
    <n v="0.25"/>
    <x v="28"/>
    <s v="Cash"/>
    <s v="Retail"/>
    <s v="East-Eve"/>
    <x v="71"/>
  </r>
  <r>
    <n v="1037"/>
    <d v="2023-01-23T00:00:00"/>
    <s v="Bob"/>
    <x v="0"/>
    <n v="4472.1094000000003"/>
    <n v="2551.5906"/>
    <n v="9813.81"/>
    <n v="40"/>
    <s v="Clothing"/>
    <n v="2790.11"/>
    <n v="3192.37"/>
    <s v="Returning"/>
    <n v="0.26"/>
    <x v="14"/>
    <s v="Bank Transfer"/>
    <s v="Online"/>
    <s v="North-Bob"/>
    <x v="72"/>
  </r>
  <r>
    <n v="1099"/>
    <d v="2023-03-04T00:00:00"/>
    <s v="David"/>
    <x v="3"/>
    <n v="6420.91"/>
    <n v="0"/>
    <n v="7952.11"/>
    <n v="10"/>
    <s v="Furniture"/>
    <n v="1531.2"/>
    <n v="1955.56"/>
    <s v="New"/>
    <n v="0"/>
    <x v="10"/>
    <s v="Credit Card"/>
    <s v="Online"/>
    <s v="East-David"/>
    <x v="73"/>
  </r>
  <r>
    <n v="1086"/>
    <d v="2023-06-02T00:00:00"/>
    <s v="Bob"/>
    <x v="3"/>
    <n v="226.4161"/>
    <n v="673.8039"/>
    <n v="2495.5700000000002"/>
    <n v="3"/>
    <s v="Electronics"/>
    <n v="1595.35"/>
    <n v="1625.70999999999"/>
    <s v="New"/>
    <n v="0.27"/>
    <x v="29"/>
    <s v="Cash"/>
    <s v="Online"/>
    <s v="East-Bob"/>
    <x v="74"/>
  </r>
  <r>
    <n v="1027"/>
    <d v="2023-01-15T00:00:00"/>
    <s v="Bob"/>
    <x v="1"/>
    <n v="5235.5219999999999"/>
    <n v="876.56799999999998"/>
    <n v="6261.2"/>
    <n v="26"/>
    <s v="Food"/>
    <n v="149.11000000000001"/>
    <n v="477.67"/>
    <s v="Returning"/>
    <n v="0.14000000000000001"/>
    <x v="6"/>
    <s v="Cash"/>
    <s v="Retail"/>
    <s v="West-Bob"/>
    <x v="75"/>
  </r>
  <r>
    <n v="1079"/>
    <d v="2023-06-06T00:00:00"/>
    <s v="David"/>
    <x v="2"/>
    <n v="-283.20049999999998"/>
    <n v="297.31049999999999"/>
    <n v="1982.07"/>
    <n v="34"/>
    <s v="Furniture"/>
    <n v="1967.96"/>
    <n v="1993.4"/>
    <s v="Returning"/>
    <n v="0.15"/>
    <x v="21"/>
    <s v="Credit Card"/>
    <s v="Online"/>
    <s v="South-David"/>
    <x v="76"/>
  </r>
  <r>
    <n v="1077"/>
    <d v="2023-02-07T00:00:00"/>
    <s v="Eve"/>
    <x v="1"/>
    <n v="4392.3314"/>
    <n v="2785.5486000000001"/>
    <n v="9605.34"/>
    <n v="12"/>
    <s v="Clothing"/>
    <n v="2427.46"/>
    <n v="2743.09"/>
    <s v="New"/>
    <n v="0.28999999999999998"/>
    <x v="11"/>
    <s v="Credit Card"/>
    <s v="Retail"/>
    <s v="West-Eve"/>
    <x v="77"/>
  </r>
  <r>
    <n v="1096"/>
    <d v="2023-09-11T00:00:00"/>
    <s v="Eve"/>
    <x v="2"/>
    <n v="5089.4575000000004"/>
    <n v="1899.3425"/>
    <n v="7597.37"/>
    <n v="23"/>
    <s v="Electronics"/>
    <n v="608.57000000000005"/>
    <n v="1032.22"/>
    <s v="New"/>
    <n v="0.25"/>
    <x v="28"/>
    <s v="Cash"/>
    <s v="Retail"/>
    <s v="South-Eve"/>
    <x v="78"/>
  </r>
  <r>
    <n v="1094"/>
    <d v="2023-01-10T00:00:00"/>
    <s v="Eve"/>
    <x v="0"/>
    <n v="182.0061"/>
    <n v="433.27390000000003"/>
    <n v="2548.67"/>
    <n v="25"/>
    <s v="Electronics"/>
    <n v="1933.39"/>
    <n v="1982.92"/>
    <s v="New"/>
    <n v="0.17"/>
    <x v="18"/>
    <s v="Bank Transfer"/>
    <s v="Online"/>
    <s v="North-Eve"/>
    <x v="79"/>
  </r>
  <r>
    <n v="1043"/>
    <d v="2023-11-26T00:00:00"/>
    <s v="Bob"/>
    <x v="2"/>
    <n v="-726.05250000000001"/>
    <n v="427.6825"/>
    <n v="1710.73"/>
    <n v="3"/>
    <s v="Electronics"/>
    <n v="2009.1"/>
    <n v="2186.42"/>
    <s v="New"/>
    <n v="0.25"/>
    <x v="28"/>
    <s v="Bank Transfer"/>
    <s v="Online"/>
    <s v="South-Bob"/>
    <x v="80"/>
  </r>
  <r>
    <n v="1013"/>
    <d v="2023-10-21T00:00:00"/>
    <s v="David"/>
    <x v="3"/>
    <n v="3001.8029999999999"/>
    <n v="503.90699999999998"/>
    <n v="5039.07"/>
    <n v="20"/>
    <s v="Electronics"/>
    <n v="1533.36"/>
    <n v="1649.73999999999"/>
    <s v="Returning"/>
    <n v="0.1"/>
    <x v="22"/>
    <s v="Bank Transfer"/>
    <s v="Online"/>
    <s v="East-David"/>
    <x v="81"/>
  </r>
  <r>
    <n v="1032"/>
    <d v="2023-06-08T00:00:00"/>
    <s v="Eve"/>
    <x v="1"/>
    <n v="-4612.3738000000003"/>
    <n v="19.783799999999999"/>
    <n v="219.82"/>
    <n v="49"/>
    <s v="Electronics"/>
    <n v="4812.41"/>
    <n v="5088"/>
    <s v="Returning"/>
    <n v="0.09"/>
    <x v="0"/>
    <s v="Credit Card"/>
    <s v="Online"/>
    <s v="West-Eve"/>
    <x v="82"/>
  </r>
  <r>
    <n v="1066"/>
    <d v="2023-07-03T00:00:00"/>
    <s v="Charlie"/>
    <x v="0"/>
    <n v="3545.6819999999998"/>
    <n v="255.208"/>
    <n v="6380.2"/>
    <n v="15"/>
    <s v="Furniture"/>
    <n v="2579.31"/>
    <n v="2867.36"/>
    <s v="Returning"/>
    <n v="0.04"/>
    <x v="13"/>
    <s v="Bank Transfer"/>
    <s v="Retail"/>
    <s v="North-Charlie"/>
    <x v="83"/>
  </r>
  <r>
    <n v="1057"/>
    <d v="2023-09-18T00:00:00"/>
    <s v="Charlie"/>
    <x v="1"/>
    <n v="5347.5054"/>
    <n v="146.31460000000001"/>
    <n v="7315.73"/>
    <n v="25"/>
    <s v="Food"/>
    <n v="1821.91"/>
    <n v="2027.74"/>
    <s v="New"/>
    <n v="0.02"/>
    <x v="3"/>
    <s v="Bank Transfer"/>
    <s v="Retail"/>
    <s v="West-Charlie"/>
    <x v="84"/>
  </r>
  <r>
    <n v="1097"/>
    <d v="2023-10-26T00:00:00"/>
    <s v="Alice"/>
    <x v="3"/>
    <n v="2565.491"/>
    <n v="381.69900000000001"/>
    <n v="7633.98"/>
    <n v="27"/>
    <s v="Electronics"/>
    <n v="4686.79"/>
    <n v="5046.51"/>
    <s v="Returning"/>
    <n v="0.05"/>
    <x v="8"/>
    <s v="Credit Card"/>
    <s v="Retail"/>
    <s v="East-Alice"/>
    <x v="85"/>
  </r>
  <r>
    <n v="1070"/>
    <d v="2023-11-26T00:00:00"/>
    <s v="David"/>
    <x v="0"/>
    <n v="1037.6321"/>
    <n v="1685.9178999999999"/>
    <n v="5813.51"/>
    <n v="40"/>
    <s v="Furniture"/>
    <n v="3089.96"/>
    <n v="3258.45"/>
    <s v="New"/>
    <n v="0.28999999999999998"/>
    <x v="11"/>
    <s v="Cash"/>
    <s v="Online"/>
    <s v="North-David"/>
    <x v="86"/>
  </r>
  <r>
    <n v="1056"/>
    <d v="2023-05-07T00:00:00"/>
    <s v="David"/>
    <x v="3"/>
    <n v="4523.4740000000002"/>
    <n v="1522.376"/>
    <n v="7611.88"/>
    <n v="28"/>
    <s v="Clothing"/>
    <n v="1566.03"/>
    <n v="1576.34"/>
    <s v="Returning"/>
    <n v="0.2"/>
    <x v="2"/>
    <s v="Bank Transfer"/>
    <s v="Online"/>
    <s v="East-David"/>
    <x v="87"/>
  </r>
  <r>
    <n v="1019"/>
    <d v="2023-10-29T00:00:00"/>
    <s v="David"/>
    <x v="1"/>
    <n v="5380.4124000000002"/>
    <n v="238.08760000000001"/>
    <n v="5952.19"/>
    <n v="31"/>
    <s v="Food"/>
    <n v="333.69"/>
    <n v="685.1"/>
    <s v="New"/>
    <n v="0.04"/>
    <x v="13"/>
    <s v="Bank Transfer"/>
    <s v="Online"/>
    <s v="West-David"/>
    <x v="88"/>
  </r>
  <r>
    <n v="1068"/>
    <d v="2023-02-24T00:00:00"/>
    <s v="Bob"/>
    <x v="0"/>
    <n v="168.0874"/>
    <n v="1330.8126"/>
    <n v="5118.51"/>
    <n v="22"/>
    <s v="Clothing"/>
    <n v="3619.61"/>
    <n v="3651.42"/>
    <s v="Returning"/>
    <n v="0.26"/>
    <x v="14"/>
    <s v="Bank Transfer"/>
    <s v="Online"/>
    <s v="North-Bob"/>
    <x v="89"/>
  </r>
  <r>
    <n v="1017"/>
    <d v="2023-07-21T00:00:00"/>
    <s v="David"/>
    <x v="3"/>
    <n v="2233.3798999999999"/>
    <n v="982.7201"/>
    <n v="3388.69"/>
    <n v="1"/>
    <s v="Food"/>
    <n v="172.59"/>
    <n v="404.69"/>
    <s v="Returning"/>
    <n v="0.28999999999999998"/>
    <x v="11"/>
    <s v="Bank Transfer"/>
    <s v="Online"/>
    <s v="East-David"/>
    <x v="90"/>
  </r>
  <r>
    <n v="1069"/>
    <d v="2023-06-03T00:00:00"/>
    <s v="David"/>
    <x v="1"/>
    <n v="3304.1487999999999"/>
    <n v="1842.6912"/>
    <n v="6581.04"/>
    <n v="42"/>
    <s v="Clothing"/>
    <n v="1434.2"/>
    <n v="1482.88"/>
    <s v="New"/>
    <n v="0.28000000000000003"/>
    <x v="20"/>
    <s v="Credit Card"/>
    <s v="Retail"/>
    <s v="West-David"/>
    <x v="91"/>
  </r>
  <r>
    <n v="1098"/>
    <d v="2023-10-18T00:00:00"/>
    <s v="Eve"/>
    <x v="1"/>
    <n v="587.61779999999999"/>
    <n v="288.1422"/>
    <n v="1600.79"/>
    <n v="21"/>
    <s v="Furniture"/>
    <n v="725.03"/>
    <n v="828.94999999999902"/>
    <s v="New"/>
    <n v="0.18"/>
    <x v="12"/>
    <s v="Bank Transfer"/>
    <s v="Online"/>
    <s v="West-Eve"/>
    <x v="92"/>
  </r>
  <r>
    <n v="1016"/>
    <d v="2023-03-31T00:00:00"/>
    <s v="Eve"/>
    <x v="3"/>
    <n v="-694.1576"/>
    <n v="1120.5376000000001"/>
    <n v="4309.76"/>
    <n v="38"/>
    <s v="Electronics"/>
    <n v="3883.38"/>
    <n v="4152.72"/>
    <s v="Returning"/>
    <n v="0.26"/>
    <x v="14"/>
    <s v="Cash"/>
    <s v="Online"/>
    <s v="East-Eve"/>
    <x v="93"/>
  </r>
  <r>
    <n v="1020"/>
    <d v="2023-09-08T00:00:00"/>
    <s v="Eve"/>
    <x v="0"/>
    <n v="5163.7852999999996"/>
    <n v="97.334699999999998"/>
    <n v="9733.4699999999993"/>
    <n v="26"/>
    <s v="Clothing"/>
    <n v="4472.3500000000004"/>
    <n v="4770.42"/>
    <s v="New"/>
    <n v="0.01"/>
    <x v="30"/>
    <s v="Credit Card"/>
    <s v="Retail"/>
    <s v="North-Eve"/>
    <x v="94"/>
  </r>
  <r>
    <n v="1067"/>
    <d v="2023-06-29T00:00:00"/>
    <s v="Eve"/>
    <x v="2"/>
    <n v="-4216.1890000000003"/>
    <n v="11.459"/>
    <n v="114.59"/>
    <n v="48"/>
    <s v="Food"/>
    <n v="4319.32"/>
    <n v="4625.5599999999904"/>
    <s v="Returning"/>
    <n v="0.1"/>
    <x v="22"/>
    <s v="Bank Transfer"/>
    <s v="Online"/>
    <s v="South-Eve"/>
    <x v="95"/>
  </r>
  <r>
    <n v="1031"/>
    <d v="2023-12-08T00:00:00"/>
    <s v="David"/>
    <x v="0"/>
    <n v="1817.598"/>
    <n v="1513.412"/>
    <n v="7567.06"/>
    <n v="22"/>
    <s v="Food"/>
    <n v="4236.05"/>
    <n v="4382.32"/>
    <s v="New"/>
    <n v="0.2"/>
    <x v="2"/>
    <s v="Bank Transfer"/>
    <s v="Online"/>
    <s v="North-David"/>
    <x v="96"/>
  </r>
  <r>
    <n v="1025"/>
    <d v="2023-10-15T00:00:00"/>
    <s v="David"/>
    <x v="0"/>
    <n v="1868.3692000000001"/>
    <n v="68.450800000000001"/>
    <n v="3422.54"/>
    <n v="44"/>
    <s v="Food"/>
    <n v="1485.72"/>
    <n v="1717.97"/>
    <s v="New"/>
    <n v="0.02"/>
    <x v="3"/>
    <s v="Credit Card"/>
    <s v="Retail"/>
    <s v="North-David"/>
    <x v="97"/>
  </r>
  <r>
    <n v="1046"/>
    <d v="2023-01-20T00:00:00"/>
    <s v="Eve"/>
    <x v="3"/>
    <n v="-358.08199999999999"/>
    <n v="410.48200000000003"/>
    <n v="4104.82"/>
    <n v="43"/>
    <s v="Clothing"/>
    <n v="4052.42"/>
    <n v="4199.3"/>
    <s v="New"/>
    <n v="0.1"/>
    <x v="22"/>
    <s v="Bank Transfer"/>
    <s v="Retail"/>
    <s v="East-Eve"/>
    <x v="98"/>
  </r>
  <r>
    <n v="1010"/>
    <d v="2023-02-16T00:00:00"/>
    <s v="David"/>
    <x v="3"/>
    <n v="-687.14819999999997"/>
    <n v="100.73820000000001"/>
    <n v="1678.97"/>
    <n v="47"/>
    <s v="Furniture"/>
    <n v="2265.38"/>
    <n v="2429.9299999999998"/>
    <s v="Returning"/>
    <n v="0.06"/>
    <x v="16"/>
    <s v="Bank Transfer"/>
    <s v="Online"/>
    <s v="East-David"/>
    <x v="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d v="2023-02-03T00:00:00"/>
    <x v="0"/>
    <s v="North"/>
    <n v="5053.97"/>
    <n v="18"/>
    <s v="Furniture"/>
    <n v="152.75"/>
    <n v="267.22000000000003"/>
    <x v="0"/>
    <n v="0.09"/>
    <s v="Cash"/>
    <x v="0"/>
    <s v="North-Bob"/>
    <n v="0.09"/>
    <n v="4599.1127000000006"/>
  </r>
  <r>
    <n v="1093"/>
    <d v="2023-04-21T00:00:00"/>
    <x v="0"/>
    <s v="West"/>
    <n v="4384.0200000000004"/>
    <n v="17"/>
    <s v="Furniture"/>
    <n v="3816.39"/>
    <n v="4209.4399999999996"/>
    <x v="0"/>
    <n v="0.11"/>
    <s v="Cash"/>
    <x v="1"/>
    <s v="West-Bob"/>
    <n v="0.11"/>
    <n v="3901.7778000000003"/>
  </r>
  <r>
    <n v="1015"/>
    <d v="2023-09-21T00:00:00"/>
    <x v="1"/>
    <s v="South"/>
    <n v="4631.2299999999996"/>
    <n v="30"/>
    <s v="Food"/>
    <n v="261.56"/>
    <n v="371.4"/>
    <x v="0"/>
    <n v="0.2"/>
    <s v="Bank Transfer"/>
    <x v="1"/>
    <s v="South-David"/>
    <n v="0.2"/>
    <n v="3704.9839999999999"/>
  </r>
  <r>
    <n v="1072"/>
    <d v="2023-08-24T00:00:00"/>
    <x v="0"/>
    <s v="South"/>
    <n v="2167.94"/>
    <n v="39"/>
    <s v="net"/>
    <n v="4330.03"/>
    <n v="4467.75"/>
    <x v="1"/>
    <n v="0.02"/>
    <s v="Credit Card"/>
    <x v="1"/>
    <s v="South-Bob"/>
    <n v="0.02"/>
    <n v="2124.5812000000001"/>
  </r>
  <r>
    <n v="1061"/>
    <d v="2023-03-24T00:00:00"/>
    <x v="2"/>
    <s v="East"/>
    <n v="3750.2"/>
    <n v="13"/>
    <s v="Electronics"/>
    <n v="637.37"/>
    <n v="692.71"/>
    <x v="1"/>
    <n v="0.08"/>
    <s v="Credit Card"/>
    <x v="0"/>
    <s v="East-Charlie"/>
    <n v="0.08"/>
    <n v="3450.1840000000002"/>
  </r>
  <r>
    <n v="1021"/>
    <d v="2023-02-11T00:00:00"/>
    <x v="2"/>
    <s v="West"/>
    <n v="3761.15"/>
    <n v="32"/>
    <s v="Food"/>
    <n v="900.79"/>
    <n v="1106.51"/>
    <x v="1"/>
    <n v="0.21"/>
    <s v="Cash"/>
    <x v="0"/>
    <s v="West-Charlie"/>
    <n v="0.21"/>
    <n v="2971.3085000000001"/>
  </r>
  <r>
    <n v="1083"/>
    <d v="2023-04-11T00:00:00"/>
    <x v="0"/>
    <s v="West"/>
    <n v="618.30999999999995"/>
    <n v="29"/>
    <s v="Furniture"/>
    <n v="2408.81"/>
    <n v="2624.09"/>
    <x v="0"/>
    <n v="0.14000000000000001"/>
    <s v="Cash"/>
    <x v="0"/>
    <s v="West-Bob"/>
    <n v="0.14000000000000001"/>
    <n v="531.74659999999994"/>
  </r>
  <r>
    <n v="1087"/>
    <d v="2023-01-06T00:00:00"/>
    <x v="3"/>
    <s v="South"/>
    <n v="7698.92"/>
    <n v="46"/>
    <s v="Furniture"/>
    <n v="3702.51"/>
    <n v="3964.65"/>
    <x v="1"/>
    <n v="0.12"/>
    <s v="Bank Transfer"/>
    <x v="0"/>
    <s v="South-Eve"/>
    <n v="0.12"/>
    <n v="6775.0496000000003"/>
  </r>
  <r>
    <n v="1075"/>
    <d v="2023-06-29T00:00:00"/>
    <x v="1"/>
    <s v="South"/>
    <n v="4223.3900000000003"/>
    <n v="30"/>
    <s v="Furniture"/>
    <n v="738.06"/>
    <n v="1095.44999999999"/>
    <x v="1"/>
    <n v="0.05"/>
    <s v="Bank Transfer"/>
    <x v="0"/>
    <s v="South-David"/>
    <n v="0.05"/>
    <n v="4012.2204999999999"/>
  </r>
  <r>
    <n v="1075"/>
    <d v="2023-10-09T00:00:00"/>
    <x v="2"/>
    <s v="West"/>
    <n v="8239.58"/>
    <n v="18"/>
    <s v="Clothing"/>
    <n v="2228.35"/>
    <n v="2682.34"/>
    <x v="1"/>
    <n v="0.13"/>
    <s v="Bank Transfer"/>
    <x v="0"/>
    <s v="West-Charlie"/>
    <n v="0.13"/>
    <n v="7168.4345999999996"/>
  </r>
  <r>
    <n v="1088"/>
    <d v="2023-11-16T00:00:00"/>
    <x v="3"/>
    <s v="North"/>
    <n v="8518.4500000000007"/>
    <n v="13"/>
    <s v="Furniture"/>
    <n v="2440.11"/>
    <n v="2517.6"/>
    <x v="1"/>
    <n v="0.23"/>
    <s v="Bank Transfer"/>
    <x v="1"/>
    <s v="North-Eve"/>
    <n v="0.23"/>
    <n v="6559.2065000000011"/>
  </r>
  <r>
    <n v="1100"/>
    <d v="2023-08-14T00:00:00"/>
    <x v="0"/>
    <s v="West"/>
    <n v="2198.7399999999998"/>
    <n v="43"/>
    <m/>
    <n v="1100.81"/>
    <n v="1137.44"/>
    <x v="0"/>
    <n v="0.08"/>
    <s v="Bank Transfer"/>
    <x v="0"/>
    <s v="West-Bob"/>
    <n v="0.08"/>
    <n v="2022.8407999999999"/>
  </r>
  <r>
    <n v="1024"/>
    <d v="2023-11-11T00:00:00"/>
    <x v="3"/>
    <s v="West"/>
    <n v="6607.8"/>
    <n v="21"/>
    <s v="Food"/>
    <n v="622.01"/>
    <n v="641.09"/>
    <x v="0"/>
    <n v="0"/>
    <s v="Bank Transfer"/>
    <x v="1"/>
    <s v="West-Eve"/>
    <n v="0"/>
    <n v="6607.8"/>
  </r>
  <r>
    <n v="1003"/>
    <d v="2023-12-31T00:00:00"/>
    <x v="4"/>
    <s v="South"/>
    <n v="4775.59"/>
    <n v="30"/>
    <s v="Furniture"/>
    <n v="4190.28"/>
    <n v="4270.6499999999996"/>
    <x v="1"/>
    <n v="0.2"/>
    <s v="Cash"/>
    <x v="0"/>
    <s v="South-Alice"/>
    <n v="0.2"/>
    <n v="3820.4720000000002"/>
  </r>
  <r>
    <n v="1022"/>
    <d v="2023-08-17T00:00:00"/>
    <x v="2"/>
    <s v="South"/>
    <n v="8813.5499999999993"/>
    <n v="21"/>
    <s v="Food"/>
    <n v="2537.1999999999998"/>
    <n v="2869.6"/>
    <x v="1"/>
    <n v="0.28999999999999998"/>
    <s v="Bank Transfer"/>
    <x v="1"/>
    <s v="South-Charlie"/>
    <n v="0.28999999999999998"/>
    <n v="6257.6204999999991"/>
  </r>
  <r>
    <n v="1053"/>
    <d v="2023-10-16T00:00:00"/>
    <x v="0"/>
    <s v="North"/>
    <n v="2235.83"/>
    <n v="48"/>
    <s v="Furniture"/>
    <n v="121.19"/>
    <n v="487.65"/>
    <x v="1"/>
    <n v="0.18"/>
    <s v="Cash"/>
    <x v="1"/>
    <s v="North-Bob"/>
    <n v="0.18"/>
    <n v="1833.3806000000002"/>
  </r>
  <r>
    <n v="1002"/>
    <d v="2023-05-30T00:00:00"/>
    <x v="1"/>
    <s v="North"/>
    <n v="6810.35"/>
    <n v="17"/>
    <s v="Furniture"/>
    <n v="4024.76"/>
    <n v="4420.1499999999996"/>
    <x v="0"/>
    <n v="0.04"/>
    <s v="Cash"/>
    <x v="0"/>
    <s v="North-David"/>
    <n v="0.04"/>
    <n v="6537.9359999999997"/>
  </r>
  <r>
    <n v="1088"/>
    <d v="2023-10-04T00:00:00"/>
    <x v="0"/>
    <s v="East"/>
    <n v="6116.75"/>
    <n v="40"/>
    <s v="Electronics"/>
    <n v="4904.93"/>
    <n v="5034.3500000000004"/>
    <x v="1"/>
    <n v="0.1"/>
    <s v="Credit Card"/>
    <x v="1"/>
    <s v="East-Bob"/>
    <n v="0.1"/>
    <n v="5505.0749999999998"/>
  </r>
  <r>
    <n v="1030"/>
    <d v="2023-07-17T00:00:00"/>
    <x v="1"/>
    <s v="West"/>
    <n v="3023.48"/>
    <n v="19"/>
    <s v="Clothing"/>
    <n v="3049.33"/>
    <n v="3209.22"/>
    <x v="0"/>
    <n v="0.26"/>
    <s v="Cash"/>
    <x v="0"/>
    <s v="West-David"/>
    <n v="0.26"/>
    <n v="2237.3751999999999"/>
  </r>
  <r>
    <n v="1038"/>
    <d v="2023-03-11T00:00:00"/>
    <x v="0"/>
    <s v="South"/>
    <n v="1452.35"/>
    <n v="15"/>
    <s v="Clothing"/>
    <n v="2543.36"/>
    <n v="2790.1"/>
    <x v="0"/>
    <n v="7.0000000000000007E-2"/>
    <s v="Cash"/>
    <x v="0"/>
    <s v="South-Bob"/>
    <n v="7.0000000000000007E-2"/>
    <n v="1350.6854999999998"/>
  </r>
  <r>
    <n v="1002"/>
    <d v="2023-04-22T00:00:00"/>
    <x v="3"/>
    <s v="North"/>
    <n v="6551.23"/>
    <n v="9"/>
    <s v="Electronics"/>
    <n v="4398.16"/>
    <n v="4439.12"/>
    <x v="1"/>
    <n v="0.18"/>
    <s v="Bank Transfer"/>
    <x v="0"/>
    <s v="North-Eve"/>
    <n v="0.18"/>
    <n v="5372.0086000000001"/>
  </r>
  <r>
    <n v="1064"/>
    <d v="2023-01-04T00:00:00"/>
    <x v="3"/>
    <s v="East"/>
    <n v="7412.11"/>
    <n v="10"/>
    <s v="Electronics"/>
    <n v="4764.96"/>
    <n v="5074.42"/>
    <x v="1"/>
    <n v="0.12"/>
    <s v="Cash"/>
    <x v="0"/>
    <s v="East-Eve"/>
    <n v="0.12"/>
    <n v="6522.6567999999997"/>
  </r>
  <r>
    <n v="1060"/>
    <d v="2023-12-16T00:00:00"/>
    <x v="3"/>
    <s v="East"/>
    <n v="3224.71"/>
    <n v="44"/>
    <s v="Clothing"/>
    <n v="3784.96"/>
    <n v="4276.99"/>
    <x v="1"/>
    <n v="0.06"/>
    <s v="Bank Transfer"/>
    <x v="1"/>
    <s v="East-Eve"/>
    <n v="0.06"/>
    <n v="3031.2273999999998"/>
  </r>
  <r>
    <n v="1021"/>
    <d v="2023-11-27T00:00:00"/>
    <x v="4"/>
    <s v="South"/>
    <n v="6483.84"/>
    <n v="31"/>
    <s v="Furniture"/>
    <n v="2254.9899999999998"/>
    <n v="2441.79"/>
    <x v="0"/>
    <n v="0.24"/>
    <s v="Bank Transfer"/>
    <x v="0"/>
    <s v="South-Alice"/>
    <n v="0.24"/>
    <n v="4927.7183999999997"/>
  </r>
  <r>
    <n v="1033"/>
    <d v="2023-11-14T00:00:00"/>
    <x v="1"/>
    <s v="South"/>
    <n v="4011.8"/>
    <n v="23"/>
    <s v="Furniture"/>
    <n v="2981.5"/>
    <n v="3360.4"/>
    <x v="0"/>
    <n v="0.22"/>
    <s v="Bank Transfer"/>
    <x v="1"/>
    <s v="South-David"/>
    <n v="0.22"/>
    <n v="3129.2040000000002"/>
  </r>
  <r>
    <n v="1076"/>
    <d v="2023-12-16T00:00:00"/>
    <x v="3"/>
    <s v="East"/>
    <n v="7160.75"/>
    <n v="30"/>
    <s v="Clothing"/>
    <n v="3519.63"/>
    <n v="3774.65"/>
    <x v="1"/>
    <n v="0.2"/>
    <s v="Credit Card"/>
    <x v="1"/>
    <s v="East-Eve"/>
    <n v="0.2"/>
    <n v="5728.6"/>
  </r>
  <r>
    <n v="1058"/>
    <d v="2023-04-05T00:00:00"/>
    <x v="4"/>
    <s v="North"/>
    <n v="2072.23"/>
    <n v="33"/>
    <s v="Furniture"/>
    <n v="1011.65"/>
    <n v="1084.28"/>
    <x v="0"/>
    <n v="7.0000000000000007E-2"/>
    <s v="Bank Transfer"/>
    <x v="1"/>
    <s v="North-Alice"/>
    <n v="7.0000000000000007E-2"/>
    <n v="1927.1738999999998"/>
  </r>
  <r>
    <n v="1022"/>
    <d v="2023-06-01T00:00:00"/>
    <x v="1"/>
    <s v="East"/>
    <n v="8913.1299999999992"/>
    <n v="9"/>
    <s v="Electronics"/>
    <n v="2263.65"/>
    <n v="2558.9499999999998"/>
    <x v="1"/>
    <n v="0.03"/>
    <s v="Cash"/>
    <x v="0"/>
    <s v="East-David"/>
    <n v="0.03"/>
    <n v="8645.7360999999983"/>
  </r>
  <r>
    <n v="1089"/>
    <d v="2023-11-07T00:00:00"/>
    <x v="0"/>
    <s v="West"/>
    <n v="2945.36"/>
    <n v="47"/>
    <s v="Furniture"/>
    <n v="4157.62"/>
    <n v="4314.5599999999904"/>
    <x v="1"/>
    <n v="0.17"/>
    <s v="Bank Transfer"/>
    <x v="1"/>
    <s v="West-Bob"/>
    <n v="0.17"/>
    <n v="2444.6487999999999"/>
  </r>
  <r>
    <n v="1049"/>
    <d v="2023-05-17T00:00:00"/>
    <x v="4"/>
    <s v="West"/>
    <n v="3741.08"/>
    <n v="1"/>
    <s v="Furniture"/>
    <n v="3290.89"/>
    <n v="3317.75"/>
    <x v="0"/>
    <n v="0.17"/>
    <s v="Bank Transfer"/>
    <x v="0"/>
    <s v="West-Alice"/>
    <n v="0.17"/>
    <n v="3105.0963999999999"/>
  </r>
  <r>
    <n v="1091"/>
    <d v="2023-09-04T00:00:00"/>
    <x v="2"/>
    <s v="South"/>
    <n v="675.11"/>
    <n v="44"/>
    <s v="Food"/>
    <n v="2085.46"/>
    <n v="2406.58"/>
    <x v="0"/>
    <n v="0.06"/>
    <s v="Bank Transfer"/>
    <x v="1"/>
    <s v="South-Charlie"/>
    <n v="0.06"/>
    <n v="634.60339999999997"/>
  </r>
  <r>
    <n v="1059"/>
    <d v="2023-08-31T00:00:00"/>
    <x v="4"/>
    <s v="North"/>
    <n v="1203.97"/>
    <n v="35"/>
    <s v="Food"/>
    <n v="3333.64"/>
    <n v="3764.52"/>
    <x v="0"/>
    <n v="0.02"/>
    <s v="Credit Card"/>
    <x v="0"/>
    <s v="North-Alice"/>
    <n v="0.02"/>
    <n v="1179.8905999999999"/>
  </r>
  <r>
    <n v="1042"/>
    <d v="2023-01-31T00:00:00"/>
    <x v="4"/>
    <s v="North"/>
    <n v="5207.03"/>
    <n v="11"/>
    <s v="Food"/>
    <n v="635.20000000000005"/>
    <n v="814.14"/>
    <x v="0"/>
    <n v="0.02"/>
    <s v="Cash"/>
    <x v="0"/>
    <s v="North-Alice"/>
    <n v="0.02"/>
    <n v="5102.8894"/>
  </r>
  <r>
    <n v="1092"/>
    <d v="2023-02-09T00:00:00"/>
    <x v="1"/>
    <s v="West"/>
    <n v="2749.17"/>
    <n v="34"/>
    <s v="Furniture"/>
    <n v="2037.41"/>
    <n v="2238.65"/>
    <x v="1"/>
    <n v="0.3"/>
    <s v="Credit Card"/>
    <x v="0"/>
    <s v="West-David"/>
    <n v="0.3"/>
    <n v="1924.4189999999999"/>
  </r>
  <r>
    <n v="1060"/>
    <d v="2023-08-17T00:00:00"/>
    <x v="0"/>
    <s v="East"/>
    <n v="8371.25"/>
    <n v="16"/>
    <s v="Clothing"/>
    <n v="3975.99"/>
    <n v="4422.59"/>
    <x v="1"/>
    <n v="0.24"/>
    <s v="Cash"/>
    <x v="0"/>
    <s v="East-Bob"/>
    <n v="0.24"/>
    <n v="6362.15"/>
  </r>
  <r>
    <n v="1080"/>
    <d v="2023-02-05T00:00:00"/>
    <x v="2"/>
    <s v="South"/>
    <n v="245.46"/>
    <n v="9"/>
    <s v="Electronics"/>
    <n v="1141.52"/>
    <n v="1550.19"/>
    <x v="1"/>
    <n v="0.28000000000000003"/>
    <s v="Credit Card"/>
    <x v="1"/>
    <s v="South-Charlie"/>
    <n v="0.28000000000000003"/>
    <n v="176.7312"/>
  </r>
  <r>
    <n v="1015"/>
    <d v="2023-08-11T00:00:00"/>
    <x v="3"/>
    <s v="East"/>
    <n v="3853.03"/>
    <n v="32"/>
    <s v="Furniture"/>
    <n v="970.51"/>
    <n v="1330.84"/>
    <x v="0"/>
    <n v="0.06"/>
    <s v="Cash"/>
    <x v="1"/>
    <s v="East-Eve"/>
    <n v="0.06"/>
    <n v="3621.8481999999999"/>
  </r>
  <r>
    <n v="1062"/>
    <d v="2023-01-06T00:00:00"/>
    <x v="3"/>
    <s v="East"/>
    <n v="3439.72"/>
    <n v="15"/>
    <s v="Clothing"/>
    <n v="4756.55"/>
    <n v="4888.46"/>
    <x v="1"/>
    <n v="0.28999999999999998"/>
    <s v="Credit Card"/>
    <x v="0"/>
    <s v="East-Eve"/>
    <n v="0.28999999999999998"/>
    <n v="2442.2011999999995"/>
  </r>
  <r>
    <n v="1062"/>
    <d v="2023-11-18T00:00:00"/>
    <x v="4"/>
    <s v="East"/>
    <n v="291.33999999999997"/>
    <n v="12"/>
    <s v="Furniture"/>
    <n v="1088.99"/>
    <n v="1545"/>
    <x v="0"/>
    <n v="0.04"/>
    <s v="Bank Transfer"/>
    <x v="1"/>
    <s v="East-Alice"/>
    <n v="0.04"/>
    <n v="279.68639999999999"/>
  </r>
  <r>
    <n v="1047"/>
    <d v="2023-08-08T00:00:00"/>
    <x v="1"/>
    <s v="North"/>
    <n v="1331.25"/>
    <n v="33"/>
    <s v="Electronics"/>
    <n v="1341.55"/>
    <n v="1427.21"/>
    <x v="0"/>
    <n v="0.15"/>
    <s v="Credit Card"/>
    <x v="0"/>
    <s v="North-David"/>
    <n v="0.15"/>
    <n v="1131.5625"/>
  </r>
  <r>
    <n v="1062"/>
    <d v="2023-03-16T00:00:00"/>
    <x v="1"/>
    <s v="West"/>
    <n v="4195.0600000000004"/>
    <n v="45"/>
    <s v="Furniture"/>
    <n v="4849.6000000000004"/>
    <n v="5166.72"/>
    <x v="0"/>
    <n v="0.25"/>
    <s v="Credit Card"/>
    <x v="0"/>
    <s v="West-David"/>
    <n v="0.25"/>
    <n v="3146.2950000000001"/>
  </r>
  <r>
    <n v="1051"/>
    <d v="2023-01-04T00:00:00"/>
    <x v="3"/>
    <s v="North"/>
    <n v="4979.3599999999997"/>
    <n v="14"/>
    <s v="Electronics"/>
    <n v="3686.81"/>
    <n v="3710.92"/>
    <x v="1"/>
    <n v="0.1"/>
    <s v="Bank Transfer"/>
    <x v="1"/>
    <s v="North-Eve"/>
    <n v="0.1"/>
    <n v="4481.424"/>
  </r>
  <r>
    <n v="1055"/>
    <d v="2023-12-01T00:00:00"/>
    <x v="2"/>
    <s v="West"/>
    <n v="4102.47"/>
    <n v="8"/>
    <s v="Furniture"/>
    <n v="3513"/>
    <n v="3838.42"/>
    <x v="0"/>
    <n v="0.13"/>
    <s v="Bank Transfer"/>
    <x v="0"/>
    <s v="West-Charlie"/>
    <n v="0.13"/>
    <n v="3569.1489000000001"/>
  </r>
  <r>
    <n v="1064"/>
    <d v="2023-05-14T00:00:00"/>
    <x v="0"/>
    <s v="South"/>
    <n v="5356.28"/>
    <n v="8"/>
    <s v="Electronics"/>
    <n v="4271.99"/>
    <n v="4417.79"/>
    <x v="0"/>
    <n v="0.04"/>
    <s v="Cash"/>
    <x v="0"/>
    <s v="South-Bob"/>
    <n v="0.04"/>
    <n v="5142.0287999999991"/>
  </r>
  <r>
    <n v="1003"/>
    <d v="2023-04-28T00:00:00"/>
    <x v="2"/>
    <s v="South"/>
    <n v="5991.8"/>
    <n v="27"/>
    <s v="Furniture"/>
    <n v="623.32000000000005"/>
    <n v="853.66"/>
    <x v="0"/>
    <n v="0.04"/>
    <s v="Cash"/>
    <x v="0"/>
    <s v="South-Charlie"/>
    <n v="0.04"/>
    <n v="5752.1279999999997"/>
  </r>
  <r>
    <n v="1051"/>
    <d v="2023-04-04T00:00:00"/>
    <x v="0"/>
    <s v="East"/>
    <n v="198.25"/>
    <n v="12"/>
    <s v="Electronics"/>
    <n v="3544.48"/>
    <n v="3723.66"/>
    <x v="0"/>
    <n v="0.19"/>
    <s v="Cash"/>
    <x v="0"/>
    <s v="East-Bob"/>
    <n v="0.19"/>
    <n v="160.58250000000001"/>
  </r>
  <r>
    <n v="1007"/>
    <d v="2023-03-03T00:00:00"/>
    <x v="3"/>
    <s v="West"/>
    <n v="4694.54"/>
    <n v="1"/>
    <s v="Food"/>
    <n v="2543.2600000000002"/>
    <n v="2637.91"/>
    <x v="0"/>
    <n v="0.2"/>
    <s v="Credit Card"/>
    <x v="0"/>
    <s v="West-Eve"/>
    <n v="0.2"/>
    <n v="3755.6320000000001"/>
  </r>
  <r>
    <n v="1021"/>
    <d v="2023-07-13T00:00:00"/>
    <x v="0"/>
    <s v="West"/>
    <n v="9638.64"/>
    <n v="43"/>
    <s v="Furniture"/>
    <n v="4154.3"/>
    <n v="4469.07"/>
    <x v="0"/>
    <n v="0.23"/>
    <s v="Cash"/>
    <x v="1"/>
    <s v="West-Bob"/>
    <n v="0.23"/>
    <n v="7421.7527999999993"/>
  </r>
  <r>
    <n v="1073"/>
    <d v="2023-12-01T00:00:00"/>
    <x v="1"/>
    <s v="West"/>
    <n v="5238.42"/>
    <n v="40"/>
    <s v="Furniture"/>
    <n v="2565.3000000000002"/>
    <n v="3007.47"/>
    <x v="0"/>
    <n v="0.17"/>
    <s v="Credit Card"/>
    <x v="1"/>
    <s v="West-David"/>
    <n v="0.17"/>
    <n v="4347.8886000000002"/>
  </r>
  <r>
    <n v="1039"/>
    <d v="2023-07-22T00:00:00"/>
    <x v="4"/>
    <s v="East"/>
    <n v="6807.67"/>
    <n v="42"/>
    <s v="Clothing"/>
    <n v="3120.19"/>
    <n v="3600.14"/>
    <x v="0"/>
    <n v="0.19"/>
    <s v="Credit Card"/>
    <x v="1"/>
    <s v="East-Alice"/>
    <n v="0.19"/>
    <n v="5514.2127"/>
  </r>
  <r>
    <n v="1018"/>
    <d v="2023-01-26T00:00:00"/>
    <x v="4"/>
    <s v="East"/>
    <n v="3187.45"/>
    <n v="11"/>
    <s v="Clothing"/>
    <n v="2414.8200000000002"/>
    <n v="2519.0700000000002"/>
    <x v="0"/>
    <n v="0"/>
    <s v="Cash"/>
    <x v="0"/>
    <s v="East-Alice"/>
    <n v="0"/>
    <n v="3187.45"/>
  </r>
  <r>
    <n v="1004"/>
    <d v="2023-06-22T00:00:00"/>
    <x v="3"/>
    <s v="South"/>
    <n v="7762.51"/>
    <n v="39"/>
    <s v="Electronics"/>
    <n v="2416.89"/>
    <n v="2778.3999999999901"/>
    <x v="0"/>
    <n v="0.05"/>
    <s v="Cash"/>
    <x v="0"/>
    <s v="South-Eve"/>
    <n v="0.05"/>
    <n v="7374.3845000000001"/>
  </r>
  <r>
    <n v="1089"/>
    <d v="2023-10-27T00:00:00"/>
    <x v="1"/>
    <s v="North"/>
    <n v="7751.92"/>
    <n v="43"/>
    <s v="Furniture"/>
    <n v="3851.45"/>
    <n v="4186.9799999999996"/>
    <x v="0"/>
    <n v="0.3"/>
    <s v="Credit Card"/>
    <x v="0"/>
    <s v="North-David"/>
    <n v="0.3"/>
    <n v="5426.3440000000001"/>
  </r>
  <r>
    <n v="1060"/>
    <d v="2023-05-13T00:00:00"/>
    <x v="2"/>
    <s v="West"/>
    <n v="5260.83"/>
    <n v="31"/>
    <s v="Electronics"/>
    <n v="3161.4"/>
    <n v="3339.66"/>
    <x v="0"/>
    <n v="0.02"/>
    <s v="Bank Transfer"/>
    <x v="0"/>
    <s v="West-Charlie"/>
    <n v="0.02"/>
    <n v="5155.6134000000002"/>
  </r>
  <r>
    <n v="1014"/>
    <d v="2023-11-22T00:00:00"/>
    <x v="1"/>
    <s v="West"/>
    <n v="9762.5400000000009"/>
    <n v="17"/>
    <s v="Food"/>
    <n v="3184.65"/>
    <n v="3204.01"/>
    <x v="1"/>
    <n v="0.2"/>
    <s v="Bank Transfer"/>
    <x v="0"/>
    <s v="West-David"/>
    <n v="0.2"/>
    <n v="7810.0320000000011"/>
  </r>
  <r>
    <n v="1009"/>
    <d v="2023-04-28T00:00:00"/>
    <x v="4"/>
    <s v="North"/>
    <n v="1342.95"/>
    <n v="33"/>
    <s v="Clothing"/>
    <n v="2278.9"/>
    <n v="2626.9"/>
    <x v="1"/>
    <n v="0.05"/>
    <s v="Credit Card"/>
    <x v="0"/>
    <s v="North-Alice"/>
    <n v="0.05"/>
    <n v="1275.8025"/>
  </r>
  <r>
    <n v="1090"/>
    <d v="2023-11-20T00:00:00"/>
    <x v="4"/>
    <s v="West"/>
    <n v="267.77999999999997"/>
    <n v="32"/>
    <s v="Electronics"/>
    <n v="2678.99"/>
    <n v="3152.2799999999902"/>
    <x v="0"/>
    <n v="0.22"/>
    <s v="Cash"/>
    <x v="1"/>
    <s v="West-Alice"/>
    <n v="0.22"/>
    <n v="208.86839999999998"/>
  </r>
  <r>
    <n v="1053"/>
    <d v="2023-10-02T00:00:00"/>
    <x v="1"/>
    <s v="East"/>
    <n v="7724.57"/>
    <n v="29"/>
    <s v="Electronics"/>
    <n v="3741.3"/>
    <n v="4061.04"/>
    <x v="0"/>
    <n v="0.21"/>
    <s v="Credit Card"/>
    <x v="0"/>
    <s v="East-David"/>
    <n v="0.21"/>
    <n v="6102.4103000000005"/>
  </r>
  <r>
    <n v="1002"/>
    <d v="2023-07-31T00:00:00"/>
    <x v="1"/>
    <s v="East"/>
    <n v="8090.84"/>
    <n v="21"/>
    <s v="Clothing"/>
    <n v="4138.41"/>
    <n v="4361.7"/>
    <x v="0"/>
    <n v="7.0000000000000007E-2"/>
    <s v="Credit Card"/>
    <x v="1"/>
    <s v="East-David"/>
    <n v="7.0000000000000007E-2"/>
    <n v="7524.4811999999993"/>
  </r>
  <r>
    <n v="1084"/>
    <d v="2023-08-13T00:00:00"/>
    <x v="4"/>
    <s v="West"/>
    <n v="1290.05"/>
    <n v="21"/>
    <s v="Furniture"/>
    <n v="3497.98"/>
    <n v="3765.31"/>
    <x v="1"/>
    <n v="0.08"/>
    <s v="Cash"/>
    <x v="0"/>
    <s v="West-Alice"/>
    <n v="0.08"/>
    <n v="1186.846"/>
  </r>
  <r>
    <n v="1092"/>
    <d v="2023-01-20T00:00:00"/>
    <x v="2"/>
    <s v="East"/>
    <n v="2729.27"/>
    <n v="40"/>
    <s v="Electronics"/>
    <n v="4624.16"/>
    <n v="4731.9799999999996"/>
    <x v="1"/>
    <n v="0.2"/>
    <s v="Bank Transfer"/>
    <x v="1"/>
    <s v="East-Charlie"/>
    <n v="0.2"/>
    <n v="2183.4160000000002"/>
  </r>
  <r>
    <n v="1060"/>
    <d v="2023-04-23T00:00:00"/>
    <x v="3"/>
    <s v="East"/>
    <n v="273.77"/>
    <n v="23"/>
    <s v="Clothing"/>
    <n v="4110.6000000000004"/>
    <n v="4488.37"/>
    <x v="1"/>
    <n v="0.12"/>
    <s v="Credit Card"/>
    <x v="0"/>
    <s v="East-Eve"/>
    <n v="0.12"/>
    <n v="240.91759999999999"/>
  </r>
  <r>
    <n v="1071"/>
    <d v="2023-05-20T00:00:00"/>
    <x v="3"/>
    <s v="West"/>
    <n v="3003.76"/>
    <n v="6"/>
    <s v="Furniture"/>
    <n v="2831.23"/>
    <n v="3206.98"/>
    <x v="0"/>
    <n v="0.06"/>
    <s v="Bank Transfer"/>
    <x v="1"/>
    <s v="West-Eve"/>
    <n v="0.06"/>
    <n v="2823.5344"/>
  </r>
  <r>
    <n v="1044"/>
    <d v="2023-02-16T00:00:00"/>
    <x v="1"/>
    <s v="South"/>
    <n v="7754.1"/>
    <n v="22"/>
    <s v="Food"/>
    <n v="3373.46"/>
    <n v="3454.76"/>
    <x v="0"/>
    <n v="0.22"/>
    <s v="Bank Transfer"/>
    <x v="1"/>
    <s v="South-David"/>
    <n v="0.22"/>
    <n v="6048.1980000000003"/>
  </r>
  <r>
    <n v="1008"/>
    <d v="2023-01-01T00:00:00"/>
    <x v="3"/>
    <s v="North"/>
    <n v="5227.8100000000004"/>
    <n v="38"/>
    <s v="Clothing"/>
    <n v="4635.2299999999996"/>
    <n v="5075.4399999999996"/>
    <x v="0"/>
    <n v="0.05"/>
    <s v="Cash"/>
    <x v="0"/>
    <s v="North-Eve"/>
    <n v="0.05"/>
    <n v="4966.4195"/>
  </r>
  <r>
    <n v="1047"/>
    <d v="2023-03-31T00:00:00"/>
    <x v="4"/>
    <s v="East"/>
    <n v="3546.15"/>
    <n v="37"/>
    <s v="Electronics"/>
    <n v="3114.88"/>
    <n v="3256.78"/>
    <x v="0"/>
    <n v="0.26"/>
    <s v="Credit Card"/>
    <x v="0"/>
    <s v="East-Alice"/>
    <n v="0.26"/>
    <n v="2624.1509999999998"/>
  </r>
  <r>
    <n v="1035"/>
    <d v="2023-05-22T00:00:00"/>
    <x v="4"/>
    <s v="South"/>
    <n v="3780.22"/>
    <n v="45"/>
    <s v="Food"/>
    <n v="4132.79"/>
    <n v="4624.1000000000004"/>
    <x v="1"/>
    <n v="0.15"/>
    <s v="Credit Card"/>
    <x v="1"/>
    <s v="South-Alice"/>
    <n v="0.15"/>
    <n v="3213.1869999999999"/>
  </r>
  <r>
    <n v="1078"/>
    <d v="2023-11-16T00:00:00"/>
    <x v="1"/>
    <s v="East"/>
    <n v="113.4"/>
    <n v="8"/>
    <s v="Furniture"/>
    <n v="3459.61"/>
    <n v="3657.23"/>
    <x v="0"/>
    <n v="0.03"/>
    <s v="Bank Transfer"/>
    <x v="0"/>
    <s v="East-David"/>
    <n v="0.03"/>
    <n v="109.998"/>
  </r>
  <r>
    <n v="1081"/>
    <d v="2023-02-07T00:00:00"/>
    <x v="1"/>
    <s v="East"/>
    <n v="3068.03"/>
    <n v="41"/>
    <s v="Furniture"/>
    <n v="2782.08"/>
    <n v="2879.24"/>
    <x v="1"/>
    <n v="0.21"/>
    <s v="Bank Transfer"/>
    <x v="0"/>
    <s v="East-David"/>
    <n v="0.21"/>
    <n v="2423.7437000000004"/>
  </r>
  <r>
    <n v="1036"/>
    <d v="2023-10-20T00:00:00"/>
    <x v="1"/>
    <s v="North"/>
    <n v="6499.94"/>
    <n v="49"/>
    <s v="Clothing"/>
    <n v="1247.0999999999999"/>
    <n v="1429.4399999999901"/>
    <x v="1"/>
    <n v="0.16"/>
    <s v="Cash"/>
    <x v="0"/>
    <s v="North-David"/>
    <n v="0.16"/>
    <n v="5459.949599999999"/>
  </r>
  <r>
    <n v="1050"/>
    <d v="2023-05-19T00:00:00"/>
    <x v="2"/>
    <s v="East"/>
    <n v="9744.52"/>
    <n v="35"/>
    <s v="Clothing"/>
    <n v="2158.69"/>
    <n v="2384.38"/>
    <x v="0"/>
    <n v="0.09"/>
    <s v="Bank Transfer"/>
    <x v="1"/>
    <s v="East-Charlie"/>
    <n v="0.09"/>
    <n v="8867.5132000000012"/>
  </r>
  <r>
    <n v="1004"/>
    <d v="2023-12-22T00:00:00"/>
    <x v="3"/>
    <s v="North"/>
    <n v="8485.9"/>
    <n v="11"/>
    <s v="Clothing"/>
    <n v="4840.33"/>
    <n v="4884.29"/>
    <x v="1"/>
    <n v="0.13"/>
    <s v="Cash"/>
    <x v="0"/>
    <s v="North-Eve"/>
    <n v="0.13"/>
    <n v="7382.7329999999993"/>
  </r>
  <r>
    <n v="1002"/>
    <d v="2023-11-29T00:00:00"/>
    <x v="1"/>
    <s v="North"/>
    <n v="333.59"/>
    <n v="24"/>
    <s v="Furniture"/>
    <n v="3305.94"/>
    <n v="3599.27"/>
    <x v="1"/>
    <n v="0.09"/>
    <s v="Credit Card"/>
    <x v="1"/>
    <s v="North-David"/>
    <n v="0.09"/>
    <n v="303.56689999999998"/>
  </r>
  <r>
    <n v="1006"/>
    <d v="2023-09-16T00:00:00"/>
    <x v="0"/>
    <s v="North"/>
    <n v="8995.75"/>
    <n v="49"/>
    <s v="Food"/>
    <n v="2843.76"/>
    <n v="3146.6"/>
    <x v="1"/>
    <n v="0.08"/>
    <s v="Cash"/>
    <x v="1"/>
    <s v="North-Bob"/>
    <n v="0.08"/>
    <n v="8276.09"/>
  </r>
  <r>
    <n v="1054"/>
    <d v="2023-06-10T00:00:00"/>
    <x v="0"/>
    <s v="South"/>
    <n v="7853.66"/>
    <n v="21"/>
    <s v="Furniture"/>
    <n v="4668.1400000000003"/>
    <n v="5040.22"/>
    <x v="1"/>
    <n v="0.05"/>
    <s v="Bank Transfer"/>
    <x v="0"/>
    <s v="South-Bob"/>
    <n v="0.05"/>
    <n v="7460.9769999999999"/>
  </r>
  <r>
    <n v="1004"/>
    <d v="2023-06-27T00:00:00"/>
    <x v="4"/>
    <s v="West"/>
    <n v="7825.72"/>
    <n v="2"/>
    <s v="Electronics"/>
    <n v="2953.23"/>
    <n v="2977.52"/>
    <x v="0"/>
    <n v="0.11"/>
    <s v="Credit Card"/>
    <x v="1"/>
    <s v="West-Alice"/>
    <n v="0.11"/>
    <n v="6964.8908000000001"/>
  </r>
  <r>
    <n v="1054"/>
    <d v="2023-01-10T00:00:00"/>
    <x v="3"/>
    <s v="South"/>
    <n v="4634.16"/>
    <n v="40"/>
    <s v="Furniture"/>
    <n v="2654.11"/>
    <n v="2929.32"/>
    <x v="0"/>
    <n v="0.08"/>
    <s v="Cash"/>
    <x v="0"/>
    <s v="South-Eve"/>
    <n v="0.08"/>
    <n v="4263.4272000000001"/>
  </r>
  <r>
    <n v="1093"/>
    <d v="2023-09-18T00:00:00"/>
    <x v="1"/>
    <s v="West"/>
    <n v="4040.25"/>
    <n v="19"/>
    <s v="Electronics"/>
    <n v="3808.59"/>
    <n v="3844.51"/>
    <x v="1"/>
    <n v="0.21"/>
    <s v="Credit Card"/>
    <x v="0"/>
    <s v="West-David"/>
    <n v="0.21"/>
    <n v="3191.7975000000001"/>
  </r>
  <r>
    <n v="1063"/>
    <d v="2023-05-18T00:00:00"/>
    <x v="0"/>
    <s v="West"/>
    <n v="3098.87"/>
    <n v="39"/>
    <s v="Food"/>
    <n v="3577.69"/>
    <n v="3931.25"/>
    <x v="0"/>
    <n v="0.21"/>
    <s v="Cash"/>
    <x v="1"/>
    <s v="West-Bob"/>
    <n v="0.21"/>
    <n v="2448.1073000000001"/>
  </r>
  <r>
    <n v="1018"/>
    <d v="2023-06-21T00:00:00"/>
    <x v="3"/>
    <s v="North"/>
    <n v="750.38"/>
    <n v="28"/>
    <s v="Clothing"/>
    <n v="1006.14"/>
    <n v="1043.45"/>
    <x v="1"/>
    <n v="0.15"/>
    <s v="Bank Transfer"/>
    <x v="1"/>
    <s v="North-Eve"/>
    <n v="0.15"/>
    <n v="637.82299999999998"/>
  </r>
  <r>
    <n v="1090"/>
    <d v="2023-01-13T00:00:00"/>
    <x v="4"/>
    <s v="East"/>
    <n v="2359.5300000000002"/>
    <n v="17"/>
    <s v="Clothing"/>
    <n v="2382.98"/>
    <n v="2839.73"/>
    <x v="0"/>
    <n v="0.23"/>
    <s v="Bank Transfer"/>
    <x v="1"/>
    <s v="East-Alice"/>
    <n v="0.23"/>
    <n v="1816.8381000000002"/>
  </r>
  <r>
    <n v="1044"/>
    <d v="2023-06-17T00:00:00"/>
    <x v="2"/>
    <s v="North"/>
    <n v="2541.38"/>
    <n v="6"/>
    <s v="Furniture"/>
    <n v="2388.9499999999998"/>
    <n v="2742.97"/>
    <x v="0"/>
    <n v="0.25"/>
    <s v="Credit Card"/>
    <x v="1"/>
    <s v="North-Charlie"/>
    <n v="0.25"/>
    <n v="1906.0350000000001"/>
  </r>
  <r>
    <n v="1034"/>
    <d v="2023-05-10T00:00:00"/>
    <x v="3"/>
    <s v="East"/>
    <n v="4892.3599999999997"/>
    <n v="19"/>
    <s v="Clothing"/>
    <n v="1922.21"/>
    <n v="2180.83"/>
    <x v="0"/>
    <n v="0.17"/>
    <s v="Credit Card"/>
    <x v="1"/>
    <s v="East-Eve"/>
    <n v="0.17"/>
    <n v="4060.6587999999997"/>
  </r>
  <r>
    <n v="1074"/>
    <d v="2023-03-25T00:00:00"/>
    <x v="3"/>
    <s v="West"/>
    <n v="7499.7"/>
    <n v="38"/>
    <s v="Food"/>
    <n v="2610.6"/>
    <n v="2836.94"/>
    <x v="0"/>
    <n v="0.19"/>
    <s v="Credit Card"/>
    <x v="0"/>
    <s v="West-Eve"/>
    <n v="0.19"/>
    <n v="6074.7570000000005"/>
  </r>
  <r>
    <n v="1062"/>
    <d v="2023-11-17T00:00:00"/>
    <x v="2"/>
    <s v="North"/>
    <n v="4790.72"/>
    <n v="28"/>
    <s v="Clothing"/>
    <n v="2094.88"/>
    <n v="2168.91"/>
    <x v="0"/>
    <n v="0.08"/>
    <s v="Cash"/>
    <x v="1"/>
    <s v="North-Charlie"/>
    <n v="0.08"/>
    <n v="4407.4624000000003"/>
  </r>
  <r>
    <n v="1100"/>
    <d v="2023-11-15T00:00:00"/>
    <x v="3"/>
    <s v="East"/>
    <n v="672.66"/>
    <n v="2"/>
    <s v="Furniture"/>
    <n v="1036.76"/>
    <n v="1189.3499999999999"/>
    <x v="1"/>
    <n v="0.27"/>
    <s v="Bank Transfer"/>
    <x v="0"/>
    <s v="East-Eve"/>
    <n v="0.27"/>
    <n v="491.04179999999997"/>
  </r>
  <r>
    <n v="1014"/>
    <d v="2023-04-11T00:00:00"/>
    <x v="4"/>
    <s v="South"/>
    <n v="9582.1200000000008"/>
    <n v="38"/>
    <s v="Food"/>
    <n v="2091.21"/>
    <n v="2527"/>
    <x v="0"/>
    <n v="0.01"/>
    <s v="Credit Card"/>
    <x v="0"/>
    <s v="South-Alice"/>
    <n v="0.01"/>
    <n v="9486.2988000000005"/>
  </r>
  <r>
    <n v="1095"/>
    <d v="2023-11-25T00:00:00"/>
    <x v="4"/>
    <s v="East"/>
    <n v="9432.9699999999993"/>
    <n v="37"/>
    <s v="Electronics"/>
    <n v="407.77"/>
    <n v="860.95"/>
    <x v="1"/>
    <n v="0.1"/>
    <s v="Credit Card"/>
    <x v="1"/>
    <s v="East-Alice"/>
    <n v="0.1"/>
    <n v="8489.6729999999989"/>
  </r>
  <r>
    <n v="1048"/>
    <d v="2023-09-30T00:00:00"/>
    <x v="2"/>
    <s v="North"/>
    <n v="7873.38"/>
    <n v="4"/>
    <s v="Furniture"/>
    <n v="2900.14"/>
    <n v="2910.5099999999902"/>
    <x v="1"/>
    <n v="0.22"/>
    <s v="Credit Card"/>
    <x v="1"/>
    <s v="North-Charlie"/>
    <n v="0.22"/>
    <n v="6141.2364000000007"/>
  </r>
  <r>
    <n v="1015"/>
    <d v="2023-09-22T00:00:00"/>
    <x v="1"/>
    <s v="South"/>
    <n v="9914.15"/>
    <n v="22"/>
    <s v="Electronics"/>
    <n v="4275.59"/>
    <n v="4576.72"/>
    <x v="0"/>
    <n v="0.02"/>
    <s v="Cash"/>
    <x v="1"/>
    <s v="South-David"/>
    <n v="0.02"/>
    <n v="9715.8670000000002"/>
  </r>
  <r>
    <n v="1072"/>
    <d v="2023-02-07T00:00:00"/>
    <x v="0"/>
    <s v="East"/>
    <n v="5490.38"/>
    <n v="26"/>
    <s v="Food"/>
    <n v="3640.17"/>
    <n v="4002.63"/>
    <x v="1"/>
    <n v="0.05"/>
    <s v="Credit Card"/>
    <x v="1"/>
    <s v="East-Bob"/>
    <n v="0.05"/>
    <n v="5215.8609999999999"/>
  </r>
  <r>
    <n v="1078"/>
    <d v="2023-04-04T00:00:00"/>
    <x v="1"/>
    <s v="East"/>
    <n v="9631.41"/>
    <n v="49"/>
    <s v="Furniture"/>
    <n v="1833.95"/>
    <n v="2147.14"/>
    <x v="0"/>
    <n v="0.18"/>
    <s v="Credit Card"/>
    <x v="1"/>
    <s v="East-David"/>
    <n v="0.18"/>
    <n v="7897.7562000000007"/>
  </r>
  <r>
    <n v="1087"/>
    <d v="2023-04-05T00:00:00"/>
    <x v="3"/>
    <s v="East"/>
    <n v="848.49"/>
    <n v="43"/>
    <s v="Furniture"/>
    <n v="481"/>
    <n v="531.02"/>
    <x v="1"/>
    <n v="0.17"/>
    <s v="Cash"/>
    <x v="0"/>
    <s v="East-Eve"/>
    <n v="0.17"/>
    <n v="704.24669999999992"/>
  </r>
  <r>
    <n v="1062"/>
    <d v="2023-11-01T00:00:00"/>
    <x v="0"/>
    <s v="East"/>
    <n v="3720.24"/>
    <n v="36"/>
    <s v="Food"/>
    <n v="1050.6400000000001"/>
    <n v="1167.33"/>
    <x v="1"/>
    <n v="0.22"/>
    <s v="Cash"/>
    <x v="0"/>
    <s v="East-Bob"/>
    <n v="0.22"/>
    <n v="2901.7871999999998"/>
  </r>
  <r>
    <n v="1040"/>
    <d v="2023-03-10T00:00:00"/>
    <x v="2"/>
    <s v="East"/>
    <n v="2331.27"/>
    <n v="13"/>
    <s v="Clothing"/>
    <n v="2750.18"/>
    <n v="2882.85"/>
    <x v="0"/>
    <n v="0.24"/>
    <s v="Credit Card"/>
    <x v="0"/>
    <s v="East-Charlie"/>
    <n v="0.24"/>
    <n v="1771.7652"/>
  </r>
  <r>
    <n v="1085"/>
    <d v="2023-11-14T00:00:00"/>
    <x v="2"/>
    <s v="South"/>
    <n v="2038.75"/>
    <n v="32"/>
    <s v="Furniture"/>
    <n v="1074.93"/>
    <n v="1492.48"/>
    <x v="0"/>
    <n v="0.04"/>
    <s v="Credit Card"/>
    <x v="1"/>
    <s v="South-Charlie"/>
    <n v="0.04"/>
    <n v="1957.1999999999998"/>
  </r>
  <r>
    <n v="1080"/>
    <d v="2023-08-24T00:00:00"/>
    <x v="0"/>
    <s v="West"/>
    <n v="1493.95"/>
    <n v="17"/>
    <s v="Furniture"/>
    <n v="2742.67"/>
    <n v="2979.64"/>
    <x v="0"/>
    <n v="0.01"/>
    <s v="Cash"/>
    <x v="1"/>
    <s v="West-Bob"/>
    <n v="0.01"/>
    <n v="1479.0105000000001"/>
  </r>
  <r>
    <n v="1082"/>
    <d v="2023-11-30T00:00:00"/>
    <x v="4"/>
    <s v="South"/>
    <n v="6261.9"/>
    <n v="41"/>
    <s v="Electronics"/>
    <n v="1196.42"/>
    <n v="1444.97"/>
    <x v="0"/>
    <n v="0.21"/>
    <s v="Bank Transfer"/>
    <x v="0"/>
    <s v="South-Alice"/>
    <n v="0.21"/>
    <n v="4946.9009999999998"/>
  </r>
  <r>
    <n v="1053"/>
    <d v="2023-05-17T00:00:00"/>
    <x v="0"/>
    <s v="South"/>
    <n v="7835.09"/>
    <n v="36"/>
    <s v="Clothing"/>
    <n v="4252.17"/>
    <n v="4720.2700000000004"/>
    <x v="1"/>
    <n v="0.09"/>
    <s v="Cash"/>
    <x v="1"/>
    <s v="South-Bob"/>
    <n v="0.09"/>
    <n v="7129.9319000000005"/>
  </r>
  <r>
    <n v="1024"/>
    <d v="2023-03-17T00:00:00"/>
    <x v="3"/>
    <s v="South"/>
    <n v="5825.15"/>
    <n v="46"/>
    <s v="Electronics"/>
    <n v="2016.49"/>
    <n v="2338.66"/>
    <x v="0"/>
    <n v="0.19"/>
    <s v="Bank Transfer"/>
    <x v="1"/>
    <s v="South-Eve"/>
    <n v="0.19"/>
    <n v="4718.3715000000002"/>
  </r>
  <r>
    <n v="1026"/>
    <d v="2023-02-04T00:00:00"/>
    <x v="4"/>
    <s v="West"/>
    <n v="1554.93"/>
    <n v="19"/>
    <s v="Electronics"/>
    <n v="1265.48"/>
    <n v="1715.83"/>
    <x v="1"/>
    <n v="0.05"/>
    <s v="Credit Card"/>
    <x v="1"/>
    <s v="West-Alice"/>
    <n v="0.05"/>
    <n v="1477.1835000000001"/>
  </r>
  <r>
    <n v="1089"/>
    <d v="2023-01-01T00:00:00"/>
    <x v="2"/>
    <s v="North"/>
    <n v="8130.13"/>
    <n v="35"/>
    <s v="Clothing"/>
    <n v="4071.01"/>
    <n v="4304.7"/>
    <x v="1"/>
    <n v="0.14000000000000001"/>
    <s v="Credit Card"/>
    <x v="0"/>
    <s v="North-Charlie"/>
    <n v="0.14000000000000001"/>
    <n v="6991.9117999999999"/>
  </r>
  <r>
    <n v="1060"/>
    <d v="2023-10-23T00:00:00"/>
    <x v="0"/>
    <s v="West"/>
    <n v="6395.95"/>
    <n v="46"/>
    <s v="Clothing"/>
    <n v="1747.05"/>
    <n v="1830.27"/>
    <x v="1"/>
    <n v="0.15"/>
    <s v="Bank Transfer"/>
    <x v="1"/>
    <s v="West-Bob"/>
    <n v="0.15"/>
    <n v="5436.5574999999999"/>
  </r>
  <r>
    <n v="1041"/>
    <d v="2023-11-16T00:00:00"/>
    <x v="1"/>
    <s v="South"/>
    <n v="3942.84"/>
    <n v="40"/>
    <s v="Food"/>
    <n v="601.86"/>
    <n v="1067.53"/>
    <x v="1"/>
    <n v="0.18"/>
    <s v="Cash"/>
    <x v="0"/>
    <s v="South-David"/>
    <n v="0.18"/>
    <n v="3233.1288000000004"/>
  </r>
  <r>
    <n v="1029"/>
    <d v="2023-03-01T00:00:00"/>
    <x v="1"/>
    <s v="East"/>
    <n v="6773.89"/>
    <n v="28"/>
    <s v="Clothing"/>
    <n v="2873.53"/>
    <n v="3108.3"/>
    <x v="1"/>
    <n v="0.15"/>
    <s v="Credit Card"/>
    <x v="1"/>
    <s v="East-David"/>
    <n v="0.15"/>
    <n v="5757.8064999999997"/>
  </r>
  <r>
    <n v="1015"/>
    <d v="2023-11-16T00:00:00"/>
    <x v="3"/>
    <s v="East"/>
    <n v="2673.06"/>
    <n v="1"/>
    <s v="Furniture"/>
    <n v="2928.74"/>
    <n v="3027.74"/>
    <x v="1"/>
    <n v="0.15"/>
    <s v="Bank Transfer"/>
    <x v="1"/>
    <s v="East-Eve"/>
    <n v="0.15"/>
    <n v="2272.1010000000001"/>
  </r>
  <r>
    <n v="1045"/>
    <d v="2023-12-15T00:00:00"/>
    <x v="1"/>
    <s v="South"/>
    <n v="3517.4"/>
    <n v="42"/>
    <s v="Clothing"/>
    <n v="3587.74"/>
    <n v="3745.91"/>
    <x v="0"/>
    <n v="0.1"/>
    <s v="Cash"/>
    <x v="0"/>
    <s v="South-David"/>
    <n v="0.1"/>
    <n v="3165.6600000000003"/>
  </r>
  <r>
    <n v="1065"/>
    <d v="2023-11-24T00:00:00"/>
    <x v="0"/>
    <s v="East"/>
    <n v="9183.11"/>
    <n v="18"/>
    <s v="Food"/>
    <n v="1239.0899999999999"/>
    <n v="1273.98"/>
    <x v="1"/>
    <n v="0.02"/>
    <s v="Bank Transfer"/>
    <x v="1"/>
    <s v="East-Bob"/>
    <n v="0.02"/>
    <n v="8999.4477999999999"/>
  </r>
  <r>
    <n v="1089"/>
    <d v="2023-09-24T00:00:00"/>
    <x v="0"/>
    <s v="South"/>
    <n v="2975.99"/>
    <n v="48"/>
    <s v="Food"/>
    <n v="2246.67"/>
    <n v="2486.14"/>
    <x v="1"/>
    <n v="0.03"/>
    <s v="Cash"/>
    <x v="1"/>
    <s v="South-Bob"/>
    <n v="0.03"/>
    <n v="2886.7102999999997"/>
  </r>
  <r>
    <n v="1071"/>
    <d v="2023-12-27T00:00:00"/>
    <x v="1"/>
    <s v="East"/>
    <n v="4752.88"/>
    <n v="40"/>
    <s v="Food"/>
    <n v="1447.72"/>
    <n v="1875.75"/>
    <x v="1"/>
    <n v="0.13"/>
    <s v="Cash"/>
    <x v="1"/>
    <s v="East-David"/>
    <n v="0.13"/>
    <n v="4135.0056000000004"/>
  </r>
  <r>
    <n v="1009"/>
    <d v="2023-08-17T00:00:00"/>
    <x v="0"/>
    <s v="West"/>
    <n v="8912.4"/>
    <n v="33"/>
    <s v="Clothing"/>
    <n v="450.72"/>
    <n v="918.17"/>
    <x v="0"/>
    <n v="0.11"/>
    <s v="Cash"/>
    <x v="0"/>
    <s v="West-Bob"/>
    <n v="0.11"/>
    <n v="7932.0360000000001"/>
  </r>
  <r>
    <n v="1088"/>
    <d v="2023-09-27T00:00:00"/>
    <x v="3"/>
    <s v="North"/>
    <n v="7106.44"/>
    <n v="12"/>
    <s v="Clothing"/>
    <n v="4389.24"/>
    <n v="4856.2199999999903"/>
    <x v="0"/>
    <n v="0.15"/>
    <s v="Cash"/>
    <x v="1"/>
    <s v="North-Eve"/>
    <n v="0.15"/>
    <n v="6040.4739999999993"/>
  </r>
  <r>
    <n v="1001"/>
    <d v="2023-11-12T00:00:00"/>
    <x v="4"/>
    <s v="North"/>
    <n v="715.81"/>
    <n v="8"/>
    <s v="Electronics"/>
    <n v="3657.91"/>
    <n v="3729.27"/>
    <x v="1"/>
    <n v="0.09"/>
    <s v="Bank Transfer"/>
    <x v="1"/>
    <s v="North-Alice"/>
    <n v="0.09"/>
    <n v="651.38709999999992"/>
  </r>
  <r>
    <n v="1008"/>
    <d v="2023-10-13T00:00:00"/>
    <x v="3"/>
    <s v="West"/>
    <n v="1558.3"/>
    <n v="24"/>
    <s v="Electronics"/>
    <n v="1542.24"/>
    <n v="1739.45"/>
    <x v="0"/>
    <n v="0.21"/>
    <s v="Bank Transfer"/>
    <x v="1"/>
    <s v="West-Eve"/>
    <n v="0.21"/>
    <n v="1231.057"/>
  </r>
  <r>
    <n v="1088"/>
    <d v="2023-10-18T00:00:00"/>
    <x v="3"/>
    <s v="West"/>
    <n v="177.63"/>
    <n v="16"/>
    <s v="Furniture"/>
    <n v="3016.9"/>
    <n v="3040.73"/>
    <x v="1"/>
    <n v="0.26"/>
    <s v="Bank Transfer"/>
    <x v="1"/>
    <s v="West-Eve"/>
    <n v="0.26"/>
    <n v="131.4462"/>
  </r>
  <r>
    <n v="1063"/>
    <d v="2023-08-01T00:00:00"/>
    <x v="0"/>
    <s v="South"/>
    <n v="6346.13"/>
    <n v="4"/>
    <s v="Electronics"/>
    <n v="1046.26"/>
    <n v="1475.29"/>
    <x v="0"/>
    <n v="0.09"/>
    <s v="Bank Transfer"/>
    <x v="1"/>
    <s v="South-Bob"/>
    <n v="0.09"/>
    <n v="5774.9783000000007"/>
  </r>
  <r>
    <n v="1011"/>
    <d v="2023-06-14T00:00:00"/>
    <x v="4"/>
    <s v="South"/>
    <n v="4531.97"/>
    <n v="38"/>
    <s v="Furniture"/>
    <n v="4456.67"/>
    <n v="4642.46"/>
    <x v="1"/>
    <n v="0.06"/>
    <s v="Bank Transfer"/>
    <x v="0"/>
    <s v="South-Alice"/>
    <n v="0.06"/>
    <n v="4260.0518000000002"/>
  </r>
  <r>
    <n v="1081"/>
    <d v="2023-01-05T00:00:00"/>
    <x v="0"/>
    <s v="South"/>
    <n v="1429.32"/>
    <n v="44"/>
    <s v="Food"/>
    <n v="618.79"/>
    <n v="938.04"/>
    <x v="0"/>
    <n v="0.03"/>
    <s v="Cash"/>
    <x v="0"/>
    <s v="South-Bob"/>
    <n v="0.03"/>
    <n v="1386.4404"/>
  </r>
  <r>
    <n v="1008"/>
    <d v="2023-12-05T00:00:00"/>
    <x v="2"/>
    <s v="East"/>
    <n v="9583.5499999999993"/>
    <n v="27"/>
    <s v="Electronics"/>
    <n v="68.989999999999995"/>
    <n v="429.29"/>
    <x v="0"/>
    <n v="0.18"/>
    <s v="Credit Card"/>
    <x v="1"/>
    <s v="East-Charlie"/>
    <n v="0.18"/>
    <n v="7858.5110000000004"/>
  </r>
  <r>
    <n v="1035"/>
    <d v="2023-03-19T00:00:00"/>
    <x v="0"/>
    <s v="South"/>
    <n v="5343.63"/>
    <n v="9"/>
    <s v="Clothing"/>
    <n v="2534.94"/>
    <n v="2755.56"/>
    <x v="0"/>
    <n v="0.13"/>
    <s v="Credit Card"/>
    <x v="1"/>
    <s v="South-Bob"/>
    <n v="0.13"/>
    <n v="4648.9580999999998"/>
  </r>
  <r>
    <n v="1035"/>
    <d v="2023-03-03T00:00:00"/>
    <x v="0"/>
    <s v="West"/>
    <n v="2494.7399999999998"/>
    <n v="47"/>
    <s v="Electronics"/>
    <n v="2936.48"/>
    <n v="3096.64"/>
    <x v="1"/>
    <n v="0.06"/>
    <s v="Bank Transfer"/>
    <x v="0"/>
    <s v="West-Bob"/>
    <n v="0.06"/>
    <n v="2345.0555999999997"/>
  </r>
  <r>
    <n v="1033"/>
    <d v="2023-05-12T00:00:00"/>
    <x v="0"/>
    <s v="North"/>
    <n v="5055.9799999999996"/>
    <n v="16"/>
    <s v="Furniture"/>
    <n v="2915.88"/>
    <n v="3397.36"/>
    <x v="1"/>
    <n v="0.2"/>
    <s v="Bank Transfer"/>
    <x v="1"/>
    <s v="North-Bob"/>
    <n v="0.2"/>
    <n v="4044.7839999999997"/>
  </r>
  <r>
    <n v="1005"/>
    <d v="2023-03-30T00:00:00"/>
    <x v="4"/>
    <s v="East"/>
    <n v="6828.24"/>
    <n v="12"/>
    <s v="Electronics"/>
    <n v="319.83"/>
    <n v="802.43"/>
    <x v="1"/>
    <n v="0.04"/>
    <s v="Credit Card"/>
    <x v="1"/>
    <s v="East-Alice"/>
    <n v="0.04"/>
    <n v="6555.1103999999996"/>
  </r>
  <r>
    <n v="1041"/>
    <d v="2023-08-25T00:00:00"/>
    <x v="0"/>
    <s v="South"/>
    <n v="854.77"/>
    <n v="31"/>
    <s v="Food"/>
    <n v="1604.52"/>
    <n v="1756.34"/>
    <x v="0"/>
    <n v="0.17"/>
    <s v="Cash"/>
    <x v="1"/>
    <s v="South-Bob"/>
    <n v="0.17"/>
    <n v="709.45909999999992"/>
  </r>
  <r>
    <n v="1028"/>
    <d v="2023-02-11T00:00:00"/>
    <x v="4"/>
    <s v="East"/>
    <n v="2819.57"/>
    <n v="24"/>
    <s v="Clothing"/>
    <n v="2521.0300000000002"/>
    <n v="2766.05"/>
    <x v="0"/>
    <n v="0.16"/>
    <s v="Bank Transfer"/>
    <x v="1"/>
    <s v="East-Alice"/>
    <n v="0.16"/>
    <n v="2368.4387999999999"/>
  </r>
  <r>
    <n v="1007"/>
    <d v="2023-03-30T00:00:00"/>
    <x v="1"/>
    <s v="East"/>
    <n v="8088.96"/>
    <n v="14"/>
    <s v="Furniture"/>
    <n v="1122.07"/>
    <n v="1608.76"/>
    <x v="1"/>
    <n v="0.22"/>
    <s v="Cash"/>
    <x v="1"/>
    <s v="East-David"/>
    <n v="0.22"/>
    <n v="6309.3888000000006"/>
  </r>
  <r>
    <n v="1073"/>
    <d v="2023-10-23T00:00:00"/>
    <x v="2"/>
    <s v="South"/>
    <n v="4650.68"/>
    <n v="45"/>
    <s v="Clothing"/>
    <n v="4369.5"/>
    <n v="4381.8900000000003"/>
    <x v="0"/>
    <n v="0.02"/>
    <s v="Credit Card"/>
    <x v="1"/>
    <s v="South-Charlie"/>
    <n v="0.02"/>
    <n v="4557.6664000000001"/>
  </r>
  <r>
    <n v="1072"/>
    <d v="2023-11-24T00:00:00"/>
    <x v="4"/>
    <s v="East"/>
    <n v="5511.11"/>
    <n v="25"/>
    <s v="Clothing"/>
    <n v="481.19"/>
    <n v="693.4"/>
    <x v="1"/>
    <n v="0.27"/>
    <s v="Credit Card"/>
    <x v="1"/>
    <s v="East-Alice"/>
    <n v="0.27"/>
    <n v="4023.1102999999998"/>
  </r>
  <r>
    <n v="1012"/>
    <d v="2023-10-22T00:00:00"/>
    <x v="1"/>
    <s v="North"/>
    <n v="4384.88"/>
    <n v="34"/>
    <s v="Furniture"/>
    <n v="2462.5500000000002"/>
    <n v="2521.77"/>
    <x v="1"/>
    <n v="0.21"/>
    <s v="Bank Transfer"/>
    <x v="1"/>
    <s v="North-David"/>
    <n v="0.21"/>
    <n v="3464.0552000000002"/>
  </r>
  <r>
    <n v="1034"/>
    <d v="2023-04-14T00:00:00"/>
    <x v="4"/>
    <s v="West"/>
    <n v="534.61"/>
    <n v="3"/>
    <s v="Clothing"/>
    <n v="3472.51"/>
    <n v="3732"/>
    <x v="1"/>
    <n v="0.06"/>
    <s v="Cash"/>
    <x v="0"/>
    <s v="West-Alice"/>
    <n v="0.06"/>
    <n v="502.53339999999997"/>
  </r>
  <r>
    <n v="1033"/>
    <d v="2023-01-14T00:00:00"/>
    <x v="4"/>
    <s v="West"/>
    <n v="1740.92"/>
    <n v="24"/>
    <s v="Clothing"/>
    <n v="1345.67"/>
    <n v="1367.76"/>
    <x v="1"/>
    <n v="0.06"/>
    <s v="Bank Transfer"/>
    <x v="0"/>
    <s v="West-Alice"/>
    <n v="0.06"/>
    <n v="1636.4648"/>
  </r>
  <r>
    <n v="1048"/>
    <d v="2023-10-15T00:00:00"/>
    <x v="2"/>
    <s v="North"/>
    <n v="4510.8599999999997"/>
    <n v="42"/>
    <s v="Electronics"/>
    <n v="3139.99"/>
    <n v="3349.37"/>
    <x v="0"/>
    <n v="0.13"/>
    <s v="Credit Card"/>
    <x v="1"/>
    <s v="North-Charlie"/>
    <n v="0.13"/>
    <n v="3924.4481999999998"/>
  </r>
  <r>
    <n v="1023"/>
    <d v="2023-06-28T00:00:00"/>
    <x v="3"/>
    <s v="East"/>
    <n v="2170.94"/>
    <n v="9"/>
    <s v="Clothing"/>
    <n v="4155.46"/>
    <n v="4273.6000000000004"/>
    <x v="0"/>
    <n v="0.25"/>
    <s v="Cash"/>
    <x v="1"/>
    <s v="East-Eve"/>
    <n v="0.25"/>
    <n v="1628.2049999999999"/>
  </r>
  <r>
    <n v="1062"/>
    <d v="2023-05-05T00:00:00"/>
    <x v="3"/>
    <s v="South"/>
    <n v="594.79"/>
    <n v="26"/>
    <s v="Clothing"/>
    <n v="992.17"/>
    <n v="1263.49"/>
    <x v="0"/>
    <n v="0.25"/>
    <s v="Bank Transfer"/>
    <x v="1"/>
    <s v="South-Eve"/>
    <n v="0.25"/>
    <n v="446.09249999999997"/>
  </r>
  <r>
    <n v="1088"/>
    <d v="2023-12-19T00:00:00"/>
    <x v="4"/>
    <s v="East"/>
    <n v="8452.1299999999992"/>
    <n v="20"/>
    <s v="Clothing"/>
    <n v="4590.24"/>
    <n v="5088.28"/>
    <x v="1"/>
    <n v="0.16"/>
    <s v="Bank Transfer"/>
    <x v="1"/>
    <s v="East-Alice"/>
    <n v="0.16"/>
    <n v="7099.7891999999993"/>
  </r>
  <r>
    <n v="1037"/>
    <d v="2023-01-23T00:00:00"/>
    <x v="0"/>
    <s v="North"/>
    <n v="9813.81"/>
    <n v="40"/>
    <s v="Clothing"/>
    <n v="2790.11"/>
    <n v="3192.37"/>
    <x v="0"/>
    <n v="0.26"/>
    <s v="Bank Transfer"/>
    <x v="0"/>
    <s v="North-Bob"/>
    <n v="0.26"/>
    <n v="7262.2194"/>
  </r>
  <r>
    <n v="1099"/>
    <d v="2023-03-04T00:00:00"/>
    <x v="1"/>
    <s v="East"/>
    <n v="7952.11"/>
    <n v="10"/>
    <s v="Furniture"/>
    <n v="1531.2"/>
    <n v="1955.56"/>
    <x v="1"/>
    <n v="0"/>
    <s v="Credit Card"/>
    <x v="0"/>
    <s v="East-David"/>
    <n v="0"/>
    <n v="7952.11"/>
  </r>
  <r>
    <n v="1044"/>
    <d v="2023-05-23T00:00:00"/>
    <x v="0"/>
    <s v="West"/>
    <n v="8552.4699999999993"/>
    <n v="19"/>
    <s v="Food"/>
    <n v="2182.75"/>
    <n v="2504.0299999999902"/>
    <x v="1"/>
    <n v="0.01"/>
    <s v="Bank Transfer"/>
    <x v="0"/>
    <s v="West-Bob"/>
    <n v="0.01"/>
    <n v="8466.9452999999994"/>
  </r>
  <r>
    <n v="1086"/>
    <d v="2023-06-02T00:00:00"/>
    <x v="0"/>
    <s v="East"/>
    <n v="2495.5700000000002"/>
    <n v="3"/>
    <s v="Electronics"/>
    <n v="1595.35"/>
    <n v="1625.70999999999"/>
    <x v="1"/>
    <n v="0.27"/>
    <s v="Cash"/>
    <x v="0"/>
    <s v="East-Bob"/>
    <n v="0.27"/>
    <n v="1821.7661000000001"/>
  </r>
  <r>
    <n v="1091"/>
    <d v="2023-05-25T00:00:00"/>
    <x v="4"/>
    <s v="North"/>
    <n v="9610.2099999999991"/>
    <n v="24"/>
    <s v="Clothing"/>
    <n v="3639.3"/>
    <n v="3750.63"/>
    <x v="1"/>
    <n v="0.23"/>
    <s v="Bank Transfer"/>
    <x v="1"/>
    <s v="North-Alice"/>
    <n v="0.23"/>
    <n v="7399.8616999999995"/>
  </r>
  <r>
    <n v="1035"/>
    <d v="2023-08-13T00:00:00"/>
    <x v="4"/>
    <s v="West"/>
    <n v="2049.56"/>
    <n v="5"/>
    <s v="Clothing"/>
    <n v="3991.69"/>
    <n v="4454.97"/>
    <x v="1"/>
    <n v="0.14000000000000001"/>
    <s v="Credit Card"/>
    <x v="1"/>
    <s v="West-Alice"/>
    <n v="0.14000000000000001"/>
    <n v="1762.6215999999999"/>
  </r>
  <r>
    <n v="1065"/>
    <d v="2023-11-05T00:00:00"/>
    <x v="4"/>
    <s v="East"/>
    <n v="9519.16"/>
    <n v="3"/>
    <s v="Furniture"/>
    <n v="4173.04"/>
    <n v="4362.4399999999996"/>
    <x v="1"/>
    <n v="0.23"/>
    <s v="Bank Transfer"/>
    <x v="1"/>
    <s v="East-Alice"/>
    <n v="0.23"/>
    <n v="7329.7532000000001"/>
  </r>
  <r>
    <n v="1099"/>
    <d v="2023-04-14T00:00:00"/>
    <x v="4"/>
    <s v="East"/>
    <n v="9948.7099999999991"/>
    <n v="27"/>
    <s v="Food"/>
    <n v="4929.55"/>
    <n v="4990.33"/>
    <x v="0"/>
    <n v="0.28999999999999998"/>
    <s v="Credit Card"/>
    <x v="0"/>
    <s v="East-Alice"/>
    <n v="0.28999999999999998"/>
    <n v="7063.5840999999991"/>
  </r>
  <r>
    <n v="1047"/>
    <d v="2023-04-14T00:00:00"/>
    <x v="3"/>
    <s v="West"/>
    <n v="7146.06"/>
    <n v="16"/>
    <s v="Clothing"/>
    <n v="3966.86"/>
    <n v="4321.04"/>
    <x v="0"/>
    <n v="0.23"/>
    <s v="Credit Card"/>
    <x v="1"/>
    <s v="West-Eve"/>
    <n v="0.23"/>
    <n v="5502.4662000000008"/>
  </r>
  <r>
    <n v="1078"/>
    <d v="2023-02-08T00:00:00"/>
    <x v="4"/>
    <s v="South"/>
    <n v="9813.32"/>
    <n v="49"/>
    <s v="Furniture"/>
    <n v="3026.85"/>
    <n v="3183.58"/>
    <x v="0"/>
    <n v="0.25"/>
    <s v="Cash"/>
    <x v="1"/>
    <s v="South-Alice"/>
    <n v="0.25"/>
    <n v="7359.99"/>
  </r>
  <r>
    <n v="1003"/>
    <d v="2023-07-17T00:00:00"/>
    <x v="3"/>
    <s v="West"/>
    <n v="5738.44"/>
    <n v="15"/>
    <s v="Electronics"/>
    <n v="1729.14"/>
    <n v="1870.88"/>
    <x v="0"/>
    <n v="0.23"/>
    <s v="Cash"/>
    <x v="0"/>
    <s v="West-Eve"/>
    <n v="0.23"/>
    <n v="4418.5987999999998"/>
  </r>
  <r>
    <n v="1001"/>
    <d v="2023-05-14T00:00:00"/>
    <x v="3"/>
    <s v="South"/>
    <n v="2669.46"/>
    <n v="35"/>
    <s v="Electronics"/>
    <n v="2745.75"/>
    <n v="3244.76"/>
    <x v="1"/>
    <n v="0.05"/>
    <s v="Bank Transfer"/>
    <x v="0"/>
    <s v="South-Eve"/>
    <n v="0.05"/>
    <n v="2535.9870000000001"/>
  </r>
  <r>
    <n v="1005"/>
    <d v="2023-03-08T00:00:00"/>
    <x v="4"/>
    <s v="North"/>
    <n v="4426.26"/>
    <n v="12"/>
    <s v="Clothing"/>
    <n v="253.29"/>
    <n v="683.78"/>
    <x v="1"/>
    <n v="0.25"/>
    <s v="Credit Card"/>
    <x v="0"/>
    <s v="North-Alice"/>
    <n v="0.25"/>
    <n v="3319.6950000000002"/>
  </r>
  <r>
    <n v="1090"/>
    <d v="2023-06-28T00:00:00"/>
    <x v="2"/>
    <s v="North"/>
    <n v="5976.25"/>
    <n v="41"/>
    <s v="Clothing"/>
    <n v="3736.88"/>
    <n v="3946.77"/>
    <x v="0"/>
    <n v="0.06"/>
    <s v="Credit Card"/>
    <x v="0"/>
    <s v="North-Charlie"/>
    <n v="0.06"/>
    <n v="5617.6749999999993"/>
  </r>
  <r>
    <n v="1014"/>
    <d v="2023-02-11T00:00:00"/>
    <x v="1"/>
    <s v="West"/>
    <n v="823.51"/>
    <n v="44"/>
    <s v="Food"/>
    <n v="2257.48"/>
    <n v="2747.81"/>
    <x v="0"/>
    <n v="0.27"/>
    <s v="Cash"/>
    <x v="0"/>
    <s v="West-David"/>
    <n v="0.27"/>
    <n v="601.16229999999996"/>
  </r>
  <r>
    <n v="1027"/>
    <d v="2023-01-15T00:00:00"/>
    <x v="0"/>
    <s v="West"/>
    <n v="6261.2"/>
    <n v="26"/>
    <s v="Food"/>
    <n v="149.11000000000001"/>
    <n v="477.67"/>
    <x v="0"/>
    <n v="0.14000000000000001"/>
    <s v="Cash"/>
    <x v="1"/>
    <s v="West-Bob"/>
    <n v="0.14000000000000001"/>
    <n v="5384.6319999999996"/>
  </r>
  <r>
    <n v="1009"/>
    <d v="2023-04-21T00:00:00"/>
    <x v="3"/>
    <s v="North"/>
    <n v="9813.66"/>
    <n v="47"/>
    <s v="Clothing"/>
    <n v="359.41"/>
    <n v="733"/>
    <x v="0"/>
    <n v="0.2"/>
    <s v="Bank Transfer"/>
    <x v="1"/>
    <s v="North-Eve"/>
    <n v="0.2"/>
    <n v="7850.9279999999999"/>
  </r>
  <r>
    <n v="1079"/>
    <d v="2023-06-06T00:00:00"/>
    <x v="1"/>
    <s v="South"/>
    <n v="1982.07"/>
    <n v="34"/>
    <s v="Furniture"/>
    <n v="1967.96"/>
    <n v="1993.4"/>
    <x v="0"/>
    <n v="0.15"/>
    <s v="Credit Card"/>
    <x v="0"/>
    <s v="South-David"/>
    <n v="0.15"/>
    <n v="1684.7594999999999"/>
  </r>
  <r>
    <n v="1015"/>
    <d v="2023-10-16T00:00:00"/>
    <x v="2"/>
    <s v="North"/>
    <n v="7946.69"/>
    <n v="23"/>
    <s v="Food"/>
    <n v="2937.94"/>
    <n v="3007.53"/>
    <x v="0"/>
    <n v="0.03"/>
    <s v="Cash"/>
    <x v="1"/>
    <s v="North-Charlie"/>
    <n v="0.03"/>
    <n v="7708.2892999999995"/>
  </r>
  <r>
    <n v="1090"/>
    <d v="2023-08-19T00:00:00"/>
    <x v="0"/>
    <s v="West"/>
    <n v="9088.2000000000007"/>
    <n v="31"/>
    <s v="Clothing"/>
    <n v="2347.81"/>
    <n v="2668.02"/>
    <x v="0"/>
    <n v="0.09"/>
    <s v="Bank Transfer"/>
    <x v="1"/>
    <s v="West-Bob"/>
    <n v="0.09"/>
    <n v="8270.2620000000006"/>
  </r>
  <r>
    <n v="1042"/>
    <d v="2023-06-06T00:00:00"/>
    <x v="0"/>
    <s v="North"/>
    <n v="9442.65"/>
    <n v="20"/>
    <s v="Food"/>
    <n v="3115.06"/>
    <n v="3565.58"/>
    <x v="0"/>
    <n v="0.3"/>
    <s v="Credit Card"/>
    <x v="1"/>
    <s v="North-Bob"/>
    <n v="0.3"/>
    <n v="6609.8549999999996"/>
  </r>
  <r>
    <n v="1077"/>
    <d v="2023-02-07T00:00:00"/>
    <x v="3"/>
    <s v="West"/>
    <n v="9605.34"/>
    <n v="12"/>
    <s v="Clothing"/>
    <n v="2427.46"/>
    <n v="2743.09"/>
    <x v="1"/>
    <n v="0.28999999999999998"/>
    <s v="Credit Card"/>
    <x v="1"/>
    <s v="West-Eve"/>
    <n v="0.28999999999999998"/>
    <n v="6819.7914000000001"/>
  </r>
  <r>
    <n v="1051"/>
    <d v="2023-04-07T00:00:00"/>
    <x v="4"/>
    <s v="West"/>
    <n v="5262.45"/>
    <n v="23"/>
    <s v="Electronics"/>
    <n v="3325.43"/>
    <n v="3401.1"/>
    <x v="1"/>
    <n v="0.1"/>
    <s v="Cash"/>
    <x v="0"/>
    <s v="West-Alice"/>
    <n v="0.1"/>
    <n v="4736.2049999999999"/>
  </r>
  <r>
    <n v="1063"/>
    <d v="2023-10-16T00:00:00"/>
    <x v="2"/>
    <s v="North"/>
    <n v="9775.35"/>
    <n v="4"/>
    <s v="Clothing"/>
    <n v="1134.67"/>
    <n v="1201.3900000000001"/>
    <x v="1"/>
    <n v="0.3"/>
    <s v="Bank Transfer"/>
    <x v="1"/>
    <s v="North-Charlie"/>
    <n v="0.3"/>
    <n v="6842.7449999999999"/>
  </r>
  <r>
    <n v="1096"/>
    <d v="2023-09-11T00:00:00"/>
    <x v="3"/>
    <s v="South"/>
    <n v="7597.37"/>
    <n v="23"/>
    <s v="Electronics"/>
    <n v="608.57000000000005"/>
    <n v="1032.22"/>
    <x v="1"/>
    <n v="0.25"/>
    <s v="Cash"/>
    <x v="1"/>
    <s v="South-Eve"/>
    <n v="0.25"/>
    <n v="5698.0275000000001"/>
  </r>
  <r>
    <n v="1052"/>
    <d v="2023-07-15T00:00:00"/>
    <x v="2"/>
    <s v="East"/>
    <n v="1700.55"/>
    <n v="48"/>
    <s v="Food"/>
    <n v="3002.35"/>
    <n v="3080.61"/>
    <x v="0"/>
    <n v="0.18"/>
    <s v="Bank Transfer"/>
    <x v="1"/>
    <s v="East-Charlie"/>
    <n v="0.18"/>
    <n v="1394.451"/>
  </r>
  <r>
    <n v="1096"/>
    <d v="2023-03-27T00:00:00"/>
    <x v="4"/>
    <s v="North"/>
    <n v="4821.3100000000004"/>
    <n v="48"/>
    <s v="Clothing"/>
    <n v="2449.21"/>
    <n v="2714.12"/>
    <x v="1"/>
    <n v="0.01"/>
    <s v="Credit Card"/>
    <x v="0"/>
    <s v="North-Alice"/>
    <n v="0.01"/>
    <n v="4773.0969000000005"/>
  </r>
  <r>
    <n v="1004"/>
    <d v="2023-11-18T00:00:00"/>
    <x v="4"/>
    <s v="East"/>
    <n v="7211.48"/>
    <n v="1"/>
    <s v="Food"/>
    <n v="182.99"/>
    <n v="211.18"/>
    <x v="0"/>
    <n v="0.27"/>
    <s v="Bank Transfer"/>
    <x v="1"/>
    <s v="East-Alice"/>
    <n v="0.27"/>
    <n v="5264.3803999999991"/>
  </r>
  <r>
    <n v="1094"/>
    <d v="2023-01-10T00:00:00"/>
    <x v="3"/>
    <s v="North"/>
    <n v="2548.67"/>
    <n v="25"/>
    <s v="Electronics"/>
    <n v="1933.39"/>
    <n v="1982.92"/>
    <x v="1"/>
    <n v="0.17"/>
    <s v="Bank Transfer"/>
    <x v="0"/>
    <s v="North-Eve"/>
    <n v="0.17"/>
    <n v="2115.3960999999999"/>
  </r>
  <r>
    <n v="1023"/>
    <d v="2023-01-05T00:00:00"/>
    <x v="4"/>
    <s v="East"/>
    <n v="6442.09"/>
    <n v="2"/>
    <s v="Clothing"/>
    <n v="575.32000000000005"/>
    <n v="914.77"/>
    <x v="0"/>
    <n v="0.26"/>
    <s v="Bank Transfer"/>
    <x v="0"/>
    <s v="East-Alice"/>
    <n v="0.26"/>
    <n v="4767.1466"/>
  </r>
  <r>
    <n v="1015"/>
    <d v="2023-05-03T00:00:00"/>
    <x v="1"/>
    <s v="South"/>
    <n v="6699.34"/>
    <n v="30"/>
    <s v="Food"/>
    <n v="2680.22"/>
    <n v="3027.9199999999901"/>
    <x v="0"/>
    <n v="0.25"/>
    <s v="Bank Transfer"/>
    <x v="0"/>
    <s v="South-David"/>
    <n v="0.25"/>
    <n v="5024.5050000000001"/>
  </r>
  <r>
    <n v="1043"/>
    <d v="2023-11-26T00:00:00"/>
    <x v="0"/>
    <s v="South"/>
    <n v="1710.73"/>
    <n v="3"/>
    <s v="Electronics"/>
    <n v="2009.1"/>
    <n v="2186.42"/>
    <x v="1"/>
    <n v="0.25"/>
    <s v="Bank Transfer"/>
    <x v="0"/>
    <s v="South-Bob"/>
    <n v="0.25"/>
    <n v="1283.0475000000001"/>
  </r>
  <r>
    <n v="1029"/>
    <d v="2023-12-19T00:00:00"/>
    <x v="3"/>
    <s v="North"/>
    <n v="5694.34"/>
    <n v="21"/>
    <s v="Food"/>
    <n v="3085.1"/>
    <n v="3200.75"/>
    <x v="1"/>
    <n v="0.21"/>
    <s v="Cash"/>
    <x v="1"/>
    <s v="North-Eve"/>
    <n v="0.21"/>
    <n v="4498.5286000000006"/>
  </r>
  <r>
    <n v="1036"/>
    <d v="2023-04-28T00:00:00"/>
    <x v="2"/>
    <s v="West"/>
    <n v="7739.11"/>
    <n v="25"/>
    <s v="Furniture"/>
    <n v="4037.73"/>
    <n v="4446.45"/>
    <x v="0"/>
    <n v="0.09"/>
    <s v="Bank Transfer"/>
    <x v="0"/>
    <s v="West-Charlie"/>
    <n v="0.09"/>
    <n v="7042.5901000000003"/>
  </r>
  <r>
    <n v="1013"/>
    <d v="2023-10-21T00:00:00"/>
    <x v="1"/>
    <s v="East"/>
    <n v="5039.07"/>
    <n v="20"/>
    <s v="Electronics"/>
    <n v="1533.36"/>
    <n v="1649.73999999999"/>
    <x v="0"/>
    <n v="0.1"/>
    <s v="Bank Transfer"/>
    <x v="0"/>
    <s v="East-David"/>
    <n v="0.1"/>
    <n v="4535.1629999999996"/>
  </r>
  <r>
    <n v="1032"/>
    <d v="2023-06-08T00:00:00"/>
    <x v="3"/>
    <s v="West"/>
    <n v="219.82"/>
    <n v="49"/>
    <s v="Electronics"/>
    <n v="4812.41"/>
    <n v="5088"/>
    <x v="0"/>
    <n v="0.09"/>
    <s v="Credit Card"/>
    <x v="0"/>
    <s v="West-Eve"/>
    <n v="0.09"/>
    <n v="200.03620000000001"/>
  </r>
  <r>
    <n v="1071"/>
    <d v="2023-10-30T00:00:00"/>
    <x v="4"/>
    <s v="West"/>
    <n v="189.48"/>
    <n v="22"/>
    <s v="Electronics"/>
    <n v="2701.39"/>
    <n v="3185.81"/>
    <x v="1"/>
    <n v="0.01"/>
    <s v="Bank Transfer"/>
    <x v="0"/>
    <s v="West-Alice"/>
    <n v="0.01"/>
    <n v="187.58519999999999"/>
  </r>
  <r>
    <n v="1059"/>
    <d v="2023-08-16T00:00:00"/>
    <x v="4"/>
    <s v="West"/>
    <n v="3634.59"/>
    <n v="21"/>
    <s v="Clothing"/>
    <n v="3110.54"/>
    <n v="3192.99"/>
    <x v="1"/>
    <n v="0.17"/>
    <s v="Credit Card"/>
    <x v="0"/>
    <s v="West-Alice"/>
    <n v="0.17"/>
    <n v="3016.7096999999999"/>
  </r>
  <r>
    <n v="1086"/>
    <d v="2023-12-31T00:00:00"/>
    <x v="4"/>
    <s v="South"/>
    <n v="9269.32"/>
    <n v="33"/>
    <s v="Clothing"/>
    <n v="3419.33"/>
    <n v="3890.3599999999901"/>
    <x v="0"/>
    <n v="0.21"/>
    <s v="Cash"/>
    <x v="1"/>
    <s v="South-Alice"/>
    <n v="0.21"/>
    <n v="7322.7628000000004"/>
  </r>
  <r>
    <n v="1028"/>
    <d v="2023-08-04T00:00:00"/>
    <x v="4"/>
    <s v="North"/>
    <n v="2363.9"/>
    <n v="38"/>
    <s v="Clothing"/>
    <n v="3350.32"/>
    <n v="3449.94"/>
    <x v="1"/>
    <n v="0.26"/>
    <s v="Cash"/>
    <x v="0"/>
    <s v="North-Alice"/>
    <n v="0.26"/>
    <n v="1749.2860000000001"/>
  </r>
  <r>
    <n v="1066"/>
    <d v="2023-07-03T00:00:00"/>
    <x v="2"/>
    <s v="North"/>
    <n v="6380.2"/>
    <n v="15"/>
    <s v="Furniture"/>
    <n v="2579.31"/>
    <n v="2867.36"/>
    <x v="0"/>
    <n v="0.04"/>
    <s v="Bank Transfer"/>
    <x v="1"/>
    <s v="North-Charlie"/>
    <n v="0.04"/>
    <n v="6124.9919999999993"/>
  </r>
  <r>
    <n v="1042"/>
    <d v="2023-01-15T00:00:00"/>
    <x v="1"/>
    <s v="South"/>
    <n v="2298.5500000000002"/>
    <n v="46"/>
    <s v="Furniture"/>
    <n v="2172.38"/>
    <n v="2367.11"/>
    <x v="1"/>
    <n v="0.16"/>
    <s v="Cash"/>
    <x v="1"/>
    <s v="South-David"/>
    <n v="0.16"/>
    <n v="1930.7820000000002"/>
  </r>
  <r>
    <n v="1045"/>
    <d v="2023-06-06T00:00:00"/>
    <x v="0"/>
    <s v="South"/>
    <n v="3284.53"/>
    <n v="15"/>
    <s v="Electronics"/>
    <n v="316.22000000000003"/>
    <n v="799.04"/>
    <x v="1"/>
    <n v="0"/>
    <s v="Bank Transfer"/>
    <x v="0"/>
    <s v="South-Bob"/>
    <n v="0"/>
    <n v="3284.53"/>
  </r>
  <r>
    <n v="1062"/>
    <d v="2023-05-16T00:00:00"/>
    <x v="2"/>
    <s v="North"/>
    <n v="8495.6200000000008"/>
    <n v="46"/>
    <s v="Furniture"/>
    <n v="159.32"/>
    <n v="303.36"/>
    <x v="1"/>
    <n v="0.03"/>
    <s v="Cash"/>
    <x v="1"/>
    <s v="North-Charlie"/>
    <n v="0.03"/>
    <n v="8240.751400000001"/>
  </r>
  <r>
    <n v="1057"/>
    <d v="2023-09-18T00:00:00"/>
    <x v="2"/>
    <s v="West"/>
    <n v="7315.73"/>
    <n v="25"/>
    <s v="Food"/>
    <n v="1821.91"/>
    <n v="2027.74"/>
    <x v="1"/>
    <n v="0.02"/>
    <s v="Bank Transfer"/>
    <x v="1"/>
    <s v="West-Charlie"/>
    <n v="0.02"/>
    <n v="7169.4153999999999"/>
  </r>
  <r>
    <n v="1006"/>
    <d v="2023-06-06T00:00:00"/>
    <x v="0"/>
    <s v="East"/>
    <n v="1044.45"/>
    <n v="21"/>
    <s v="Electronics"/>
    <n v="1701.62"/>
    <n v="2193.2199999999998"/>
    <x v="1"/>
    <n v="0.22"/>
    <s v="Bank Transfer"/>
    <x v="1"/>
    <s v="East-Bob"/>
    <n v="0.22"/>
    <n v="814.67100000000005"/>
  </r>
  <r>
    <n v="1028"/>
    <d v="2023-02-16T00:00:00"/>
    <x v="0"/>
    <s v="East"/>
    <n v="4344.1499999999996"/>
    <n v="24"/>
    <s v="Electronics"/>
    <n v="1969.09"/>
    <n v="2241.96"/>
    <x v="0"/>
    <n v="0.02"/>
    <s v="Credit Card"/>
    <x v="0"/>
    <s v="East-Bob"/>
    <n v="0.02"/>
    <n v="4257.2669999999998"/>
  </r>
  <r>
    <n v="1028"/>
    <d v="2023-11-20T00:00:00"/>
    <x v="4"/>
    <s v="East"/>
    <n v="388.78"/>
    <n v="5"/>
    <s v="Food"/>
    <n v="734.92"/>
    <n v="991.21"/>
    <x v="0"/>
    <n v="0.21"/>
    <s v="Credit Card"/>
    <x v="0"/>
    <s v="East-Alice"/>
    <n v="0.21"/>
    <n v="307.13619999999997"/>
  </r>
  <r>
    <n v="1044"/>
    <d v="2023-11-28T00:00:00"/>
    <x v="2"/>
    <s v="West"/>
    <n v="4860.8100000000004"/>
    <n v="6"/>
    <s v="Electronics"/>
    <n v="3703.93"/>
    <n v="3840.24"/>
    <x v="1"/>
    <n v="7.0000000000000007E-2"/>
    <s v="Credit Card"/>
    <x v="0"/>
    <s v="West-Charlie"/>
    <n v="7.0000000000000007E-2"/>
    <n v="4520.5533000000005"/>
  </r>
  <r>
    <n v="1084"/>
    <d v="2023-06-22T00:00:00"/>
    <x v="3"/>
    <s v="North"/>
    <n v="6658.1"/>
    <n v="49"/>
    <s v="Furniture"/>
    <n v="4291.97"/>
    <n v="4645.6400000000003"/>
    <x v="0"/>
    <n v="0.26"/>
    <s v="Credit Card"/>
    <x v="0"/>
    <s v="North-Eve"/>
    <n v="0.26"/>
    <n v="4926.9940000000006"/>
  </r>
  <r>
    <n v="1030"/>
    <d v="2023-05-10T00:00:00"/>
    <x v="0"/>
    <s v="South"/>
    <n v="1273.18"/>
    <n v="43"/>
    <s v="Clothing"/>
    <n v="4696.6400000000003"/>
    <n v="4713.68"/>
    <x v="0"/>
    <n v="0.24"/>
    <s v="Bank Transfer"/>
    <x v="0"/>
    <s v="South-Bob"/>
    <n v="0.24"/>
    <n v="967.61680000000001"/>
  </r>
  <r>
    <n v="1062"/>
    <d v="2023-04-05T00:00:00"/>
    <x v="0"/>
    <s v="North"/>
    <n v="2959.96"/>
    <n v="48"/>
    <s v="Food"/>
    <n v="2487.19"/>
    <n v="2521.4499999999998"/>
    <x v="1"/>
    <n v="0.28999999999999998"/>
    <s v="Cash"/>
    <x v="0"/>
    <s v="North-Bob"/>
    <n v="0.28999999999999998"/>
    <n v="2101.5715999999998"/>
  </r>
  <r>
    <n v="1075"/>
    <d v="2023-04-25T00:00:00"/>
    <x v="1"/>
    <s v="West"/>
    <n v="4038.58"/>
    <n v="44"/>
    <s v="Furniture"/>
    <n v="3519.29"/>
    <n v="3822.98"/>
    <x v="0"/>
    <n v="0.27"/>
    <s v="Bank Transfer"/>
    <x v="0"/>
    <s v="West-David"/>
    <n v="0.27"/>
    <n v="2948.1633999999999"/>
  </r>
  <r>
    <n v="1092"/>
    <d v="2023-08-31T00:00:00"/>
    <x v="3"/>
    <s v="South"/>
    <n v="9203.36"/>
    <n v="47"/>
    <s v="Food"/>
    <n v="4284.9799999999996"/>
    <n v="4462.3999999999996"/>
    <x v="1"/>
    <n v="0.28000000000000003"/>
    <s v="Credit Card"/>
    <x v="1"/>
    <s v="South-Eve"/>
    <n v="0.28000000000000003"/>
    <n v="6626.4192000000003"/>
  </r>
  <r>
    <n v="1089"/>
    <d v="2023-10-19T00:00:00"/>
    <x v="3"/>
    <s v="West"/>
    <n v="9933.2199999999993"/>
    <n v="23"/>
    <s v="Food"/>
    <n v="2120.54"/>
    <n v="2597.67"/>
    <x v="0"/>
    <n v="0.26"/>
    <s v="Credit Card"/>
    <x v="1"/>
    <s v="West-Eve"/>
    <n v="0.26"/>
    <n v="7350.5827999999992"/>
  </r>
  <r>
    <n v="1062"/>
    <d v="2023-10-09T00:00:00"/>
    <x v="0"/>
    <s v="East"/>
    <n v="544.62"/>
    <n v="4"/>
    <s v="Electronics"/>
    <n v="1581.59"/>
    <n v="2034.1499999999901"/>
    <x v="0"/>
    <n v="0.21"/>
    <s v="Cash"/>
    <x v="0"/>
    <s v="East-Bob"/>
    <n v="0.21"/>
    <n v="430.24980000000005"/>
  </r>
  <r>
    <n v="1097"/>
    <d v="2023-10-26T00:00:00"/>
    <x v="4"/>
    <s v="East"/>
    <n v="7633.98"/>
    <n v="27"/>
    <s v="Electronics"/>
    <n v="4686.79"/>
    <n v="5046.51"/>
    <x v="0"/>
    <n v="0.05"/>
    <s v="Credit Card"/>
    <x v="1"/>
    <s v="East-Alice"/>
    <n v="0.05"/>
    <n v="7252.280999999999"/>
  </r>
  <r>
    <n v="1001"/>
    <d v="2023-10-10T00:00:00"/>
    <x v="1"/>
    <s v="West"/>
    <n v="3780.07"/>
    <n v="18"/>
    <s v="Furniture"/>
    <n v="2602.6"/>
    <n v="3013.49"/>
    <x v="0"/>
    <n v="0.08"/>
    <s v="Bank Transfer"/>
    <x v="0"/>
    <s v="West-David"/>
    <n v="0.08"/>
    <n v="3477.6644000000001"/>
  </r>
  <r>
    <n v="1027"/>
    <d v="2023-03-10T00:00:00"/>
    <x v="3"/>
    <s v="South"/>
    <n v="3985.34"/>
    <n v="21"/>
    <s v="Food"/>
    <n v="2511.41"/>
    <n v="2848.3999999999901"/>
    <x v="0"/>
    <n v="0.06"/>
    <s v="Bank Transfer"/>
    <x v="0"/>
    <s v="South-Eve"/>
    <n v="0.06"/>
    <n v="3746.2195999999999"/>
  </r>
  <r>
    <n v="1062"/>
    <d v="2023-05-28T00:00:00"/>
    <x v="0"/>
    <s v="South"/>
    <n v="7567.22"/>
    <n v="28"/>
    <s v="Electronics"/>
    <n v="933.16"/>
    <n v="1004.69999999999"/>
    <x v="0"/>
    <n v="0.18"/>
    <s v="Bank Transfer"/>
    <x v="0"/>
    <s v="South-Bob"/>
    <n v="0.18"/>
    <n v="6205.1204000000007"/>
  </r>
  <r>
    <n v="1077"/>
    <d v="2023-01-11T00:00:00"/>
    <x v="3"/>
    <s v="North"/>
    <n v="9192.42"/>
    <n v="35"/>
    <s v="Electronics"/>
    <n v="585.37"/>
    <n v="970.49"/>
    <x v="0"/>
    <n v="0.15"/>
    <s v="Bank Transfer"/>
    <x v="1"/>
    <s v="North-Eve"/>
    <n v="0.15"/>
    <n v="7813.5569999999998"/>
  </r>
  <r>
    <n v="1003"/>
    <d v="2023-09-11T00:00:00"/>
    <x v="1"/>
    <s v="East"/>
    <n v="9514.19"/>
    <n v="22"/>
    <s v="Food"/>
    <n v="4218.43"/>
    <n v="4331.42"/>
    <x v="1"/>
    <n v="0.26"/>
    <s v="Bank Transfer"/>
    <x v="0"/>
    <s v="East-David"/>
    <n v="0.26"/>
    <n v="7040.5006000000003"/>
  </r>
  <r>
    <n v="1070"/>
    <d v="2023-11-26T00:00:00"/>
    <x v="1"/>
    <s v="North"/>
    <n v="5813.51"/>
    <n v="40"/>
    <s v="Furniture"/>
    <n v="3089.96"/>
    <n v="3258.45"/>
    <x v="1"/>
    <n v="0.28999999999999998"/>
    <s v="Cash"/>
    <x v="0"/>
    <s v="North-David"/>
    <n v="0.28999999999999998"/>
    <n v="4127.5920999999998"/>
  </r>
  <r>
    <n v="1072"/>
    <d v="2023-12-26T00:00:00"/>
    <x v="2"/>
    <s v="North"/>
    <n v="3635.5"/>
    <n v="23"/>
    <s v="Furniture"/>
    <n v="1662.83"/>
    <n v="2074.25"/>
    <x v="1"/>
    <n v="0.12"/>
    <s v="Bank Transfer"/>
    <x v="0"/>
    <s v="North-Charlie"/>
    <n v="0.12"/>
    <n v="3199.2400000000002"/>
  </r>
  <r>
    <n v="1027"/>
    <d v="2023-02-07T00:00:00"/>
    <x v="0"/>
    <s v="West"/>
    <n v="7896.74"/>
    <n v="3"/>
    <s v="Food"/>
    <n v="999.09"/>
    <n v="1271.99"/>
    <x v="1"/>
    <n v="0.15"/>
    <s v="Credit Card"/>
    <x v="0"/>
    <s v="West-Bob"/>
    <n v="0.15"/>
    <n v="6712.2289999999994"/>
  </r>
  <r>
    <n v="1009"/>
    <d v="2023-05-14T00:00:00"/>
    <x v="1"/>
    <s v="West"/>
    <n v="2584.91"/>
    <n v="40"/>
    <s v="Furniture"/>
    <n v="2799.71"/>
    <n v="3231.08"/>
    <x v="0"/>
    <n v="0.28999999999999998"/>
    <s v="Credit Card"/>
    <x v="1"/>
    <s v="West-David"/>
    <n v="0.28999999999999998"/>
    <n v="1835.2860999999998"/>
  </r>
  <r>
    <n v="1062"/>
    <d v="2023-07-19T00:00:00"/>
    <x v="2"/>
    <s v="North"/>
    <n v="5684.33"/>
    <n v="10"/>
    <s v="Electronics"/>
    <n v="2940.4"/>
    <n v="3054.79"/>
    <x v="0"/>
    <n v="0.08"/>
    <s v="Credit Card"/>
    <x v="0"/>
    <s v="North-Charlie"/>
    <n v="0.08"/>
    <n v="5229.5835999999999"/>
  </r>
  <r>
    <n v="1037"/>
    <d v="2023-01-23T00:00:00"/>
    <x v="2"/>
    <s v="East"/>
    <n v="3649.93"/>
    <n v="25"/>
    <s v="Food"/>
    <n v="1074.6199999999999"/>
    <n v="1382.4299999999901"/>
    <x v="0"/>
    <n v="0.24"/>
    <s v="Credit Card"/>
    <x v="1"/>
    <s v="East-Charlie"/>
    <n v="0.24"/>
    <n v="2773.9467999999997"/>
  </r>
  <r>
    <n v="1097"/>
    <d v="2023-10-30T00:00:00"/>
    <x v="3"/>
    <s v="West"/>
    <n v="6600.65"/>
    <n v="49"/>
    <s v="Electronics"/>
    <n v="4264.46"/>
    <n v="4315.5200000000004"/>
    <x v="1"/>
    <n v="7.0000000000000007E-2"/>
    <s v="Cash"/>
    <x v="1"/>
    <s v="West-Eve"/>
    <n v="7.0000000000000007E-2"/>
    <n v="6138.6044999999995"/>
  </r>
  <r>
    <n v="1051"/>
    <d v="2023-12-12T00:00:00"/>
    <x v="3"/>
    <s v="North"/>
    <n v="2479.9499999999998"/>
    <n v="8"/>
    <s v="Clothing"/>
    <n v="467.11"/>
    <n v="792.21"/>
    <x v="1"/>
    <n v="0.2"/>
    <s v="Credit Card"/>
    <x v="0"/>
    <s v="North-Eve"/>
    <n v="0.2"/>
    <n v="1983.96"/>
  </r>
  <r>
    <n v="1044"/>
    <d v="2023-10-29T00:00:00"/>
    <x v="2"/>
    <s v="North"/>
    <n v="1996.77"/>
    <n v="11"/>
    <s v="Clothing"/>
    <n v="1812.66"/>
    <n v="2196.3000000000002"/>
    <x v="1"/>
    <n v="0.08"/>
    <s v="Cash"/>
    <x v="0"/>
    <s v="North-Charlie"/>
    <n v="0.08"/>
    <n v="1837.0284000000001"/>
  </r>
  <r>
    <n v="1024"/>
    <d v="2023-12-29T00:00:00"/>
    <x v="3"/>
    <s v="North"/>
    <n v="9190.57"/>
    <n v="5"/>
    <s v="Furniture"/>
    <n v="3417.9"/>
    <n v="3714.52"/>
    <x v="0"/>
    <n v="0.27"/>
    <s v="Credit Card"/>
    <x v="1"/>
    <s v="North-Eve"/>
    <n v="0.27"/>
    <n v="6709.1160999999993"/>
  </r>
  <r>
    <n v="1079"/>
    <d v="2023-08-06T00:00:00"/>
    <x v="1"/>
    <s v="North"/>
    <n v="1107.8599999999999"/>
    <n v="45"/>
    <s v="Clothing"/>
    <n v="1406.9"/>
    <n v="1547.35"/>
    <x v="1"/>
    <n v="0.17"/>
    <s v="Cash"/>
    <x v="1"/>
    <s v="North-David"/>
    <n v="0.17"/>
    <n v="919.52379999999982"/>
  </r>
  <r>
    <n v="1059"/>
    <d v="2023-05-21T00:00:00"/>
    <x v="4"/>
    <s v="North"/>
    <n v="5108.9799999999996"/>
    <n v="37"/>
    <s v="Electronics"/>
    <n v="4146.99"/>
    <n v="4172.3499999999904"/>
    <x v="0"/>
    <n v="0.06"/>
    <s v="Cash"/>
    <x v="1"/>
    <s v="North-Alice"/>
    <n v="0.06"/>
    <n v="4802.4411999999993"/>
  </r>
  <r>
    <n v="1032"/>
    <d v="2023-04-14T00:00:00"/>
    <x v="1"/>
    <s v="North"/>
    <n v="2286.44"/>
    <n v="45"/>
    <s v="Clothing"/>
    <n v="3712.35"/>
    <n v="3780.88"/>
    <x v="1"/>
    <n v="7.0000000000000007E-2"/>
    <s v="Cash"/>
    <x v="1"/>
    <s v="North-David"/>
    <n v="7.0000000000000007E-2"/>
    <n v="2126.3892000000001"/>
  </r>
  <r>
    <n v="1096"/>
    <d v="2023-07-29T00:00:00"/>
    <x v="2"/>
    <s v="West"/>
    <n v="485.41"/>
    <n v="38"/>
    <s v="Electronics"/>
    <n v="3955.66"/>
    <n v="4270.59"/>
    <x v="0"/>
    <n v="0.15"/>
    <s v="Credit Card"/>
    <x v="0"/>
    <s v="West-Charlie"/>
    <n v="0.15"/>
    <n v="412.5985"/>
  </r>
  <r>
    <n v="1088"/>
    <d v="2023-04-21T00:00:00"/>
    <x v="2"/>
    <s v="East"/>
    <n v="456.59"/>
    <n v="29"/>
    <s v="Furniture"/>
    <n v="639.58000000000004"/>
    <n v="1107.45"/>
    <x v="1"/>
    <n v="0.28999999999999998"/>
    <s v="Cash"/>
    <x v="1"/>
    <s v="East-Charlie"/>
    <n v="0.28999999999999998"/>
    <n v="324.17889999999994"/>
  </r>
  <r>
    <n v="1052"/>
    <d v="2023-04-14T00:00:00"/>
    <x v="1"/>
    <s v="North"/>
    <n v="1834.7"/>
    <n v="5"/>
    <s v="Furniture"/>
    <n v="745.71"/>
    <n v="856.91"/>
    <x v="0"/>
    <n v="0.23"/>
    <s v="Bank Transfer"/>
    <x v="1"/>
    <s v="North-David"/>
    <n v="0.23"/>
    <n v="1412.7190000000001"/>
  </r>
  <r>
    <n v="1062"/>
    <d v="2023-11-12T00:00:00"/>
    <x v="3"/>
    <s v="South"/>
    <n v="8681.0300000000007"/>
    <n v="9"/>
    <s v="Electronics"/>
    <n v="1468.05"/>
    <n v="1838.21"/>
    <x v="1"/>
    <n v="0.15"/>
    <s v="Bank Transfer"/>
    <x v="1"/>
    <s v="South-Eve"/>
    <n v="0.15"/>
    <n v="7378.8755000000001"/>
  </r>
  <r>
    <n v="1058"/>
    <d v="2023-06-20T00:00:00"/>
    <x v="3"/>
    <s v="West"/>
    <n v="2896.54"/>
    <n v="48"/>
    <s v="Clothing"/>
    <n v="2614.48"/>
    <n v="3049.04"/>
    <x v="1"/>
    <n v="0.1"/>
    <s v="Credit Card"/>
    <x v="1"/>
    <s v="West-Eve"/>
    <n v="0.1"/>
    <n v="2606.886"/>
  </r>
  <r>
    <n v="1052"/>
    <d v="2023-12-22T00:00:00"/>
    <x v="2"/>
    <s v="West"/>
    <n v="9509.5499999999993"/>
    <n v="2"/>
    <s v="Furniture"/>
    <n v="3752.68"/>
    <n v="4017.91"/>
    <x v="0"/>
    <n v="0.16"/>
    <s v="Bank Transfer"/>
    <x v="0"/>
    <s v="West-Charlie"/>
    <n v="0.16"/>
    <n v="7988.021999999999"/>
  </r>
  <r>
    <n v="1012"/>
    <d v="2023-11-20T00:00:00"/>
    <x v="0"/>
    <s v="North"/>
    <n v="5858.06"/>
    <n v="1"/>
    <s v="Food"/>
    <n v="4190.83"/>
    <n v="4528.7699999999904"/>
    <x v="0"/>
    <n v="0.22"/>
    <s v="Bank Transfer"/>
    <x v="0"/>
    <s v="North-Bob"/>
    <n v="0.22"/>
    <n v="4569.2868000000008"/>
  </r>
  <r>
    <n v="1039"/>
    <d v="2023-05-13T00:00:00"/>
    <x v="3"/>
    <s v="West"/>
    <n v="4422.4799999999996"/>
    <n v="40"/>
    <s v="Furniture"/>
    <n v="3536.46"/>
    <n v="3945.82"/>
    <x v="1"/>
    <n v="0.24"/>
    <s v="Bank Transfer"/>
    <x v="0"/>
    <s v="West-Eve"/>
    <n v="0.24"/>
    <n v="3361.0847999999996"/>
  </r>
  <r>
    <n v="1002"/>
    <d v="2023-10-20T00:00:00"/>
    <x v="1"/>
    <s v="North"/>
    <n v="5842.88"/>
    <n v="30"/>
    <s v="Clothing"/>
    <n v="4646.55"/>
    <n v="4784.28"/>
    <x v="0"/>
    <n v="0.1"/>
    <s v="Credit Card"/>
    <x v="1"/>
    <s v="North-David"/>
    <n v="0.1"/>
    <n v="5258.5920000000006"/>
  </r>
  <r>
    <n v="1003"/>
    <d v="2023-11-24T00:00:00"/>
    <x v="3"/>
    <s v="East"/>
    <n v="5215.3100000000004"/>
    <n v="11"/>
    <s v="Food"/>
    <n v="3706.78"/>
    <n v="3862.26"/>
    <x v="1"/>
    <n v="0.22"/>
    <s v="Credit Card"/>
    <x v="1"/>
    <s v="East-Eve"/>
    <n v="0.22"/>
    <n v="4067.9418000000005"/>
  </r>
  <r>
    <n v="1056"/>
    <d v="2023-05-07T00:00:00"/>
    <x v="1"/>
    <s v="East"/>
    <n v="7611.88"/>
    <n v="28"/>
    <s v="Clothing"/>
    <n v="1566.03"/>
    <n v="1576.34"/>
    <x v="0"/>
    <n v="0.2"/>
    <s v="Bank Transfer"/>
    <x v="0"/>
    <s v="East-David"/>
    <n v="0.2"/>
    <n v="6089.5040000000008"/>
  </r>
  <r>
    <n v="1081"/>
    <d v="2023-04-16T00:00:00"/>
    <x v="2"/>
    <s v="West"/>
    <n v="2896.71"/>
    <n v="44"/>
    <s v="Electronics"/>
    <n v="1362.15"/>
    <n v="1844.07"/>
    <x v="1"/>
    <n v="0.28999999999999998"/>
    <s v="Credit Card"/>
    <x v="0"/>
    <s v="West-Charlie"/>
    <n v="0.28999999999999998"/>
    <n v="2056.6641"/>
  </r>
  <r>
    <n v="1059"/>
    <d v="2023-04-02T00:00:00"/>
    <x v="3"/>
    <s v="West"/>
    <n v="3595.2"/>
    <n v="12"/>
    <s v="Food"/>
    <n v="3496.15"/>
    <n v="3955.75"/>
    <x v="0"/>
    <n v="0.28000000000000003"/>
    <s v="Cash"/>
    <x v="1"/>
    <s v="West-Eve"/>
    <n v="0.28000000000000003"/>
    <n v="2588.5439999999999"/>
  </r>
  <r>
    <n v="1002"/>
    <d v="2023-10-14T00:00:00"/>
    <x v="1"/>
    <s v="South"/>
    <n v="8951.5300000000007"/>
    <n v="39"/>
    <s v="Clothing"/>
    <n v="1004.71"/>
    <n v="1389.35"/>
    <x v="1"/>
    <n v="0.24"/>
    <s v="Bank Transfer"/>
    <x v="0"/>
    <s v="South-David"/>
    <n v="0.24"/>
    <n v="6803.162800000001"/>
  </r>
  <r>
    <n v="1002"/>
    <d v="2023-02-20T00:00:00"/>
    <x v="2"/>
    <s v="West"/>
    <n v="9469.92"/>
    <n v="26"/>
    <s v="Food"/>
    <n v="508.94"/>
    <n v="557.69000000000005"/>
    <x v="1"/>
    <n v="0.22"/>
    <s v="Credit Card"/>
    <x v="1"/>
    <s v="West-Charlie"/>
    <n v="0.22"/>
    <n v="7386.5376000000006"/>
  </r>
  <r>
    <n v="1092"/>
    <d v="2023-01-29T00:00:00"/>
    <x v="0"/>
    <s v="South"/>
    <n v="8936.33"/>
    <n v="13"/>
    <s v="Clothing"/>
    <n v="2684.5"/>
    <n v="2913.78"/>
    <x v="1"/>
    <n v="0.08"/>
    <s v="Credit Card"/>
    <x v="1"/>
    <s v="South-Bob"/>
    <n v="0.08"/>
    <n v="8221.4236000000001"/>
  </r>
  <r>
    <n v="1054"/>
    <d v="2023-10-23T00:00:00"/>
    <x v="1"/>
    <s v="East"/>
    <n v="4252.54"/>
    <n v="8"/>
    <s v="Food"/>
    <n v="4117.13"/>
    <n v="4177.0600000000004"/>
    <x v="0"/>
    <n v="0.25"/>
    <s v="Bank Transfer"/>
    <x v="1"/>
    <s v="East-David"/>
    <n v="0.25"/>
    <n v="3189.4049999999997"/>
  </r>
  <r>
    <n v="1087"/>
    <d v="2023-10-24T00:00:00"/>
    <x v="0"/>
    <s v="East"/>
    <n v="7825.62"/>
    <n v="28"/>
    <s v="Clothing"/>
    <n v="551.83000000000004"/>
    <n v="569.63"/>
    <x v="1"/>
    <n v="0.13"/>
    <s v="Credit Card"/>
    <x v="1"/>
    <s v="East-Bob"/>
    <n v="0.13"/>
    <n v="6808.2893999999997"/>
  </r>
  <r>
    <n v="1096"/>
    <d v="2023-08-02T00:00:00"/>
    <x v="0"/>
    <s v="North"/>
    <n v="4815.72"/>
    <n v="30"/>
    <s v="Electronics"/>
    <n v="3969.86"/>
    <n v="4281.79"/>
    <x v="0"/>
    <n v="0.08"/>
    <s v="Bank Transfer"/>
    <x v="1"/>
    <s v="North-Bob"/>
    <n v="0.08"/>
    <n v="4430.4624000000003"/>
  </r>
  <r>
    <n v="1097"/>
    <d v="2023-09-24T00:00:00"/>
    <x v="4"/>
    <s v="East"/>
    <n v="5025.6400000000003"/>
    <n v="9"/>
    <s v="Food"/>
    <n v="4067.28"/>
    <n v="4548.09"/>
    <x v="0"/>
    <n v="0.12"/>
    <s v="Credit Card"/>
    <x v="1"/>
    <s v="East-Alice"/>
    <n v="0.12"/>
    <n v="4422.5632000000005"/>
  </r>
  <r>
    <n v="1001"/>
    <d v="2023-09-14T00:00:00"/>
    <x v="3"/>
    <s v="South"/>
    <n v="2126.33"/>
    <n v="39"/>
    <s v="Food"/>
    <n v="2437.2600000000002"/>
    <n v="2889.67"/>
    <x v="0"/>
    <n v="0.25"/>
    <s v="Cash"/>
    <x v="0"/>
    <s v="South-Eve"/>
    <n v="0.25"/>
    <n v="1594.7474999999999"/>
  </r>
  <r>
    <n v="1019"/>
    <d v="2023-10-29T00:00:00"/>
    <x v="1"/>
    <s v="West"/>
    <n v="5952.19"/>
    <n v="31"/>
    <s v="Food"/>
    <n v="333.69"/>
    <n v="685.1"/>
    <x v="1"/>
    <n v="0.04"/>
    <s v="Bank Transfer"/>
    <x v="0"/>
    <s v="West-David"/>
    <n v="0.04"/>
    <n v="5714.1023999999998"/>
  </r>
  <r>
    <n v="1002"/>
    <d v="2023-04-11T00:00:00"/>
    <x v="0"/>
    <s v="North"/>
    <n v="1942.75"/>
    <n v="21"/>
    <s v="Food"/>
    <n v="914.22"/>
    <n v="971.57"/>
    <x v="0"/>
    <n v="0.14000000000000001"/>
    <s v="Cash"/>
    <x v="0"/>
    <s v="North-Bob"/>
    <n v="0.14000000000000001"/>
    <n v="1670.7649999999999"/>
  </r>
  <r>
    <n v="1053"/>
    <d v="2023-12-12T00:00:00"/>
    <x v="4"/>
    <s v="South"/>
    <n v="3382.49"/>
    <n v="47"/>
    <s v="Electronics"/>
    <n v="3551.76"/>
    <n v="3696.1"/>
    <x v="0"/>
    <n v="0.15"/>
    <s v="Bank Transfer"/>
    <x v="1"/>
    <s v="South-Alice"/>
    <n v="0.15"/>
    <n v="2875.1164999999996"/>
  </r>
  <r>
    <n v="1044"/>
    <d v="2023-04-20T00:00:00"/>
    <x v="2"/>
    <s v="West"/>
    <n v="8564.7999999999993"/>
    <n v="34"/>
    <s v="Food"/>
    <n v="3573.3"/>
    <n v="3740.13"/>
    <x v="0"/>
    <n v="0.01"/>
    <s v="Credit Card"/>
    <x v="0"/>
    <s v="West-Charlie"/>
    <n v="0.01"/>
    <n v="8479.152"/>
  </r>
  <r>
    <n v="1090"/>
    <d v="2023-07-01T00:00:00"/>
    <x v="1"/>
    <s v="North"/>
    <n v="2150.0500000000002"/>
    <n v="31"/>
    <s v="Furniture"/>
    <n v="4496.8599999999997"/>
    <n v="4880.7999999999902"/>
    <x v="1"/>
    <n v="0.06"/>
    <s v="Cash"/>
    <x v="1"/>
    <s v="North-David"/>
    <n v="0.06"/>
    <n v="2021.047"/>
  </r>
  <r>
    <n v="1032"/>
    <d v="2023-11-09T00:00:00"/>
    <x v="0"/>
    <s v="East"/>
    <n v="804.47"/>
    <n v="25"/>
    <s v="Electronics"/>
    <n v="2934.3"/>
    <n v="3337.4"/>
    <x v="0"/>
    <n v="0.25"/>
    <s v="Credit Card"/>
    <x v="1"/>
    <s v="East-Bob"/>
    <n v="0.25"/>
    <n v="603.35249999999996"/>
  </r>
  <r>
    <n v="1070"/>
    <d v="2023-01-01T00:00:00"/>
    <x v="3"/>
    <s v="South"/>
    <n v="783.18"/>
    <n v="12"/>
    <s v="Furniture"/>
    <n v="664.33"/>
    <n v="863.03"/>
    <x v="0"/>
    <n v="0.25"/>
    <s v="Bank Transfer"/>
    <x v="1"/>
    <s v="South-Eve"/>
    <n v="0.25"/>
    <n v="587.38499999999999"/>
  </r>
  <r>
    <n v="1032"/>
    <d v="2023-11-15T00:00:00"/>
    <x v="4"/>
    <s v="West"/>
    <n v="9413.77"/>
    <n v="1"/>
    <s v="Food"/>
    <n v="651"/>
    <n v="865.76"/>
    <x v="0"/>
    <n v="0.09"/>
    <s v="Bank Transfer"/>
    <x v="1"/>
    <s v="West-Alice"/>
    <n v="0.09"/>
    <n v="8566.5307000000012"/>
  </r>
  <r>
    <n v="1068"/>
    <d v="2023-02-24T00:00:00"/>
    <x v="0"/>
    <s v="North"/>
    <n v="5118.51"/>
    <n v="22"/>
    <s v="Clothing"/>
    <n v="3619.61"/>
    <n v="3651.42"/>
    <x v="0"/>
    <n v="0.26"/>
    <s v="Bank Transfer"/>
    <x v="0"/>
    <s v="North-Bob"/>
    <n v="0.26"/>
    <n v="3787.6974"/>
  </r>
  <r>
    <n v="1055"/>
    <d v="2023-05-29T00:00:00"/>
    <x v="3"/>
    <s v="North"/>
    <n v="4153.18"/>
    <n v="40"/>
    <s v="Furniture"/>
    <n v="959.73"/>
    <n v="1111.4100000000001"/>
    <x v="1"/>
    <n v="0.23"/>
    <s v="Bank Transfer"/>
    <x v="0"/>
    <s v="North-Eve"/>
    <n v="0.23"/>
    <n v="3197.9486000000002"/>
  </r>
  <r>
    <n v="1075"/>
    <d v="2023-11-05T00:00:00"/>
    <x v="0"/>
    <s v="East"/>
    <n v="8127.7"/>
    <n v="37"/>
    <s v="Food"/>
    <n v="1675.51"/>
    <n v="1906.6399999999901"/>
    <x v="1"/>
    <n v="0.13"/>
    <s v="Bank Transfer"/>
    <x v="0"/>
    <s v="East-Bob"/>
    <n v="0.13"/>
    <n v="7071.0990000000002"/>
  </r>
  <r>
    <n v="1056"/>
    <d v="2023-05-17T00:00:00"/>
    <x v="1"/>
    <s v="West"/>
    <n v="8374.68"/>
    <n v="47"/>
    <s v="Furniture"/>
    <n v="2461.6999999999998"/>
    <n v="2529.02"/>
    <x v="0"/>
    <n v="0.22"/>
    <s v="Cash"/>
    <x v="1"/>
    <s v="West-David"/>
    <n v="0.22"/>
    <n v="6532.2504000000008"/>
  </r>
  <r>
    <n v="1017"/>
    <d v="2023-07-21T00:00:00"/>
    <x v="1"/>
    <s v="East"/>
    <n v="3388.69"/>
    <n v="1"/>
    <s v="Food"/>
    <n v="172.59"/>
    <n v="404.69"/>
    <x v="0"/>
    <n v="0.28999999999999998"/>
    <s v="Bank Transfer"/>
    <x v="0"/>
    <s v="East-David"/>
    <n v="0.28999999999999998"/>
    <n v="2405.9699000000001"/>
  </r>
  <r>
    <n v="1038"/>
    <d v="2023-11-09T00:00:00"/>
    <x v="1"/>
    <s v="East"/>
    <n v="6966.82"/>
    <n v="1"/>
    <s v="Food"/>
    <n v="1281.6500000000001"/>
    <n v="1709.71"/>
    <x v="0"/>
    <n v="0.14000000000000001"/>
    <s v="Credit Card"/>
    <x v="0"/>
    <s v="East-David"/>
    <n v="0.14000000000000001"/>
    <n v="5991.4651999999996"/>
  </r>
  <r>
    <n v="1024"/>
    <d v="2023-04-27T00:00:00"/>
    <x v="4"/>
    <s v="West"/>
    <n v="7734.12"/>
    <n v="42"/>
    <s v="Food"/>
    <n v="2069.0500000000002"/>
    <n v="2363.9"/>
    <x v="0"/>
    <n v="7.0000000000000007E-2"/>
    <s v="Cash"/>
    <x v="0"/>
    <s v="West-Alice"/>
    <n v="7.0000000000000007E-2"/>
    <n v="7192.7315999999992"/>
  </r>
  <r>
    <n v="1069"/>
    <d v="2023-06-03T00:00:00"/>
    <x v="1"/>
    <s v="West"/>
    <n v="6581.04"/>
    <n v="42"/>
    <s v="Clothing"/>
    <n v="1434.2"/>
    <n v="1482.88"/>
    <x v="1"/>
    <n v="0.28000000000000003"/>
    <s v="Credit Card"/>
    <x v="1"/>
    <s v="West-David"/>
    <n v="0.28000000000000003"/>
    <n v="4738.3487999999998"/>
  </r>
  <r>
    <n v="1098"/>
    <d v="2023-10-18T00:00:00"/>
    <x v="3"/>
    <s v="West"/>
    <n v="1600.79"/>
    <n v="21"/>
    <s v="Furniture"/>
    <n v="725.03"/>
    <n v="828.94999999999902"/>
    <x v="1"/>
    <n v="0.18"/>
    <s v="Bank Transfer"/>
    <x v="0"/>
    <s v="West-Eve"/>
    <n v="0.18"/>
    <n v="1312.6478"/>
  </r>
  <r>
    <n v="1070"/>
    <d v="2023-03-04T00:00:00"/>
    <x v="0"/>
    <s v="South"/>
    <n v="8771.24"/>
    <n v="15"/>
    <s v="Electronics"/>
    <n v="3653.66"/>
    <n v="3896.19"/>
    <x v="1"/>
    <n v="0.03"/>
    <s v="Credit Card"/>
    <x v="1"/>
    <s v="South-Bob"/>
    <n v="0.03"/>
    <n v="8508.1027999999988"/>
  </r>
  <r>
    <n v="1086"/>
    <d v="2023-09-01T00:00:00"/>
    <x v="2"/>
    <s v="West"/>
    <n v="5437.04"/>
    <n v="17"/>
    <s v="Electronics"/>
    <n v="4075.08"/>
    <n v="4262.21"/>
    <x v="1"/>
    <n v="0.17"/>
    <s v="Cash"/>
    <x v="0"/>
    <s v="West-Charlie"/>
    <n v="0.17"/>
    <n v="4512.7431999999999"/>
  </r>
  <r>
    <n v="1011"/>
    <d v="2023-01-25T00:00:00"/>
    <x v="3"/>
    <s v="North"/>
    <n v="2896.48"/>
    <n v="22"/>
    <s v="Electronics"/>
    <n v="1324.52"/>
    <n v="1510.3"/>
    <x v="0"/>
    <n v="0.15"/>
    <s v="Cash"/>
    <x v="1"/>
    <s v="North-Eve"/>
    <n v="0.15"/>
    <n v="2462.0079999999998"/>
  </r>
  <r>
    <n v="1016"/>
    <d v="2023-03-31T00:00:00"/>
    <x v="3"/>
    <s v="East"/>
    <n v="4309.76"/>
    <n v="38"/>
    <s v="Electronics"/>
    <n v="3883.38"/>
    <n v="4152.72"/>
    <x v="0"/>
    <n v="0.26"/>
    <s v="Cash"/>
    <x v="0"/>
    <s v="East-Eve"/>
    <n v="0.26"/>
    <n v="3189.2224000000001"/>
  </r>
  <r>
    <n v="1097"/>
    <d v="2023-03-16T00:00:00"/>
    <x v="1"/>
    <s v="South"/>
    <n v="471.95"/>
    <n v="35"/>
    <s v="Food"/>
    <n v="1958.49"/>
    <n v="2254.84"/>
    <x v="1"/>
    <n v="0.16"/>
    <s v="Credit Card"/>
    <x v="0"/>
    <s v="South-David"/>
    <n v="0.16"/>
    <n v="396.43799999999999"/>
  </r>
  <r>
    <n v="1073"/>
    <d v="2023-10-21T00:00:00"/>
    <x v="4"/>
    <s v="West"/>
    <n v="1365.88"/>
    <n v="45"/>
    <s v="Furniture"/>
    <n v="2558.09"/>
    <n v="2958.55"/>
    <x v="1"/>
    <n v="0.08"/>
    <s v="Cash"/>
    <x v="0"/>
    <s v="West-Alice"/>
    <n v="0.08"/>
    <n v="1256.6096000000002"/>
  </r>
  <r>
    <n v="1059"/>
    <d v="2023-07-29T00:00:00"/>
    <x v="0"/>
    <s v="South"/>
    <n v="7678.91"/>
    <n v="16"/>
    <s v="Furniture"/>
    <n v="4287.21"/>
    <n v="4464.28"/>
    <x v="0"/>
    <n v="0.2"/>
    <s v="Credit Card"/>
    <x v="1"/>
    <s v="South-Bob"/>
    <n v="0.2"/>
    <n v="6143.1280000000006"/>
  </r>
  <r>
    <n v="1070"/>
    <d v="2023-12-13T00:00:00"/>
    <x v="4"/>
    <s v="West"/>
    <n v="100.12"/>
    <n v="8"/>
    <s v="Clothing"/>
    <n v="3762.27"/>
    <n v="4166.95"/>
    <x v="0"/>
    <n v="0.16"/>
    <s v="Bank Transfer"/>
    <x v="0"/>
    <s v="West-Alice"/>
    <n v="0.16"/>
    <n v="84.100800000000007"/>
  </r>
  <r>
    <n v="1080"/>
    <d v="2023-01-17T00:00:00"/>
    <x v="0"/>
    <s v="South"/>
    <n v="4224"/>
    <n v="47"/>
    <s v="Furniture"/>
    <n v="4035.33"/>
    <n v="4211.25"/>
    <x v="0"/>
    <n v="7.0000000000000007E-2"/>
    <s v="Bank Transfer"/>
    <x v="0"/>
    <s v="South-Bob"/>
    <n v="7.0000000000000007E-2"/>
    <n v="3928.3199999999997"/>
  </r>
  <r>
    <n v="1093"/>
    <d v="2023-05-08T00:00:00"/>
    <x v="0"/>
    <s v="East"/>
    <n v="5272.85"/>
    <n v="17"/>
    <s v="Furniture"/>
    <n v="727.38"/>
    <n v="764.54"/>
    <x v="0"/>
    <n v="0.17"/>
    <s v="Credit Card"/>
    <x v="1"/>
    <s v="East-Bob"/>
    <n v="0.17"/>
    <n v="4376.4655000000002"/>
  </r>
  <r>
    <n v="1003"/>
    <d v="2023-12-30T00:00:00"/>
    <x v="4"/>
    <s v="East"/>
    <n v="640.88"/>
    <n v="17"/>
    <s v="Furniture"/>
    <n v="395.11"/>
    <n v="676.66"/>
    <x v="0"/>
    <n v="0.25"/>
    <s v="Cash"/>
    <x v="1"/>
    <s v="East-Alice"/>
    <n v="0.25"/>
    <n v="480.65999999999997"/>
  </r>
  <r>
    <n v="1020"/>
    <d v="2023-09-08T00:00:00"/>
    <x v="3"/>
    <s v="North"/>
    <n v="9733.4699999999993"/>
    <n v="26"/>
    <s v="Clothing"/>
    <n v="4472.3500000000004"/>
    <n v="4770.42"/>
    <x v="1"/>
    <n v="0.01"/>
    <s v="Credit Card"/>
    <x v="1"/>
    <s v="North-Eve"/>
    <n v="0.01"/>
    <n v="9636.1352999999999"/>
  </r>
  <r>
    <n v="1059"/>
    <d v="2023-06-28T00:00:00"/>
    <x v="0"/>
    <s v="North"/>
    <n v="2338.64"/>
    <n v="13"/>
    <s v="Electronics"/>
    <n v="1969.78"/>
    <n v="2437.6999999999998"/>
    <x v="1"/>
    <n v="0.19"/>
    <s v="Credit Card"/>
    <x v="1"/>
    <s v="North-Bob"/>
    <n v="0.19"/>
    <n v="1894.2984000000001"/>
  </r>
  <r>
    <n v="1036"/>
    <d v="2023-07-01T00:00:00"/>
    <x v="4"/>
    <s v="West"/>
    <n v="3111.57"/>
    <n v="17"/>
    <s v="Furniture"/>
    <n v="1475"/>
    <n v="1840.77"/>
    <x v="0"/>
    <n v="0.1"/>
    <s v="Credit Card"/>
    <x v="0"/>
    <s v="West-Alice"/>
    <n v="0.1"/>
    <n v="2800.413"/>
  </r>
  <r>
    <n v="1019"/>
    <d v="2023-06-01T00:00:00"/>
    <x v="0"/>
    <s v="East"/>
    <n v="3109.03"/>
    <n v="38"/>
    <s v="Clothing"/>
    <n v="3637.25"/>
    <n v="4096.96"/>
    <x v="0"/>
    <n v="0.09"/>
    <s v="Bank Transfer"/>
    <x v="0"/>
    <s v="East-Bob"/>
    <n v="0.09"/>
    <n v="2829.2173000000003"/>
  </r>
  <r>
    <n v="1090"/>
    <d v="2023-01-25T00:00:00"/>
    <x v="2"/>
    <s v="South"/>
    <n v="2381.12"/>
    <n v="17"/>
    <s v="Clothing"/>
    <n v="4190.26"/>
    <n v="4645.3500000000004"/>
    <x v="1"/>
    <n v="0.12"/>
    <s v="Credit Card"/>
    <x v="1"/>
    <s v="South-Charlie"/>
    <n v="0.12"/>
    <n v="2095.3856000000001"/>
  </r>
  <r>
    <n v="1067"/>
    <d v="2023-06-29T00:00:00"/>
    <x v="3"/>
    <s v="South"/>
    <n v="114.59"/>
    <n v="48"/>
    <s v="Food"/>
    <n v="4319.32"/>
    <n v="4625.5599999999904"/>
    <x v="0"/>
    <n v="0.1"/>
    <s v="Bank Transfer"/>
    <x v="0"/>
    <s v="South-Eve"/>
    <n v="0.1"/>
    <n v="103.131"/>
  </r>
  <r>
    <n v="1019"/>
    <d v="2023-07-17T00:00:00"/>
    <x v="1"/>
    <s v="South"/>
    <n v="7320.51"/>
    <n v="14"/>
    <s v="Clothing"/>
    <n v="1614.19"/>
    <n v="1882.79"/>
    <x v="1"/>
    <n v="0.25"/>
    <s v="Credit Card"/>
    <x v="1"/>
    <s v="South-David"/>
    <n v="0.25"/>
    <n v="5490.3824999999997"/>
  </r>
  <r>
    <n v="1020"/>
    <d v="2023-12-10T00:00:00"/>
    <x v="0"/>
    <s v="North"/>
    <n v="9671.77"/>
    <n v="45"/>
    <s v="Electronics"/>
    <n v="4268.45"/>
    <n v="4551.5999999999904"/>
    <x v="1"/>
    <n v="0.08"/>
    <s v="Bank Transfer"/>
    <x v="0"/>
    <s v="North-Bob"/>
    <n v="0.08"/>
    <n v="8898.0284000000011"/>
  </r>
  <r>
    <n v="1096"/>
    <d v="2023-06-10T00:00:00"/>
    <x v="2"/>
    <s v="South"/>
    <n v="2320.5100000000002"/>
    <n v="6"/>
    <s v="Furniture"/>
    <n v="252.62"/>
    <n v="742"/>
    <x v="1"/>
    <n v="0.22"/>
    <s v="Credit Card"/>
    <x v="1"/>
    <s v="South-Charlie"/>
    <n v="0.22"/>
    <n v="1809.9978000000003"/>
  </r>
  <r>
    <n v="1071"/>
    <d v="2023-06-26T00:00:00"/>
    <x v="1"/>
    <s v="North"/>
    <n v="6664.17"/>
    <n v="35"/>
    <s v="Clothing"/>
    <n v="295.82"/>
    <n v="684.67"/>
    <x v="1"/>
    <n v="0.03"/>
    <s v="Credit Card"/>
    <x v="0"/>
    <s v="North-David"/>
    <n v="0.03"/>
    <n v="6464.2448999999997"/>
  </r>
  <r>
    <n v="1052"/>
    <d v="2023-10-12T00:00:00"/>
    <x v="1"/>
    <s v="North"/>
    <n v="7444.77"/>
    <n v="46"/>
    <s v="Electronics"/>
    <n v="3136.42"/>
    <n v="3198.49"/>
    <x v="0"/>
    <n v="0.28999999999999998"/>
    <s v="Cash"/>
    <x v="1"/>
    <s v="North-David"/>
    <n v="0.28999999999999998"/>
    <n v="5285.7866999999997"/>
  </r>
  <r>
    <n v="1033"/>
    <d v="2023-03-04T00:00:00"/>
    <x v="0"/>
    <s v="West"/>
    <n v="8499.41"/>
    <n v="14"/>
    <s v="Clothing"/>
    <n v="362.38"/>
    <n v="753.81"/>
    <x v="0"/>
    <n v="0.19"/>
    <s v="Cash"/>
    <x v="1"/>
    <s v="West-Bob"/>
    <n v="0.19"/>
    <n v="6884.5221000000001"/>
  </r>
  <r>
    <n v="1040"/>
    <d v="2023-05-30T00:00:00"/>
    <x v="4"/>
    <s v="South"/>
    <n v="4284.03"/>
    <n v="47"/>
    <s v="Clothing"/>
    <n v="1656.82"/>
    <n v="1750.3799999999901"/>
    <x v="1"/>
    <n v="0.21"/>
    <s v="Credit Card"/>
    <x v="0"/>
    <s v="South-Alice"/>
    <n v="0.21"/>
    <n v="3384.3836999999999"/>
  </r>
  <r>
    <n v="1039"/>
    <d v="2023-06-03T00:00:00"/>
    <x v="0"/>
    <s v="South"/>
    <n v="3099.02"/>
    <n v="8"/>
    <s v="Clothing"/>
    <n v="3380.14"/>
    <n v="3609.3399999999901"/>
    <x v="0"/>
    <n v="0.09"/>
    <s v="Credit Card"/>
    <x v="0"/>
    <s v="South-Bob"/>
    <n v="0.09"/>
    <n v="2820.1082000000001"/>
  </r>
  <r>
    <n v="1082"/>
    <d v="2023-06-05T00:00:00"/>
    <x v="2"/>
    <s v="East"/>
    <n v="3320.42"/>
    <n v="15"/>
    <s v="Clothing"/>
    <n v="1719.47"/>
    <n v="1832.6"/>
    <x v="0"/>
    <n v="0.12"/>
    <s v="Credit Card"/>
    <x v="0"/>
    <s v="East-Charlie"/>
    <n v="0.12"/>
    <n v="2921.9695999999999"/>
  </r>
  <r>
    <n v="1001"/>
    <d v="2023-02-18T00:00:00"/>
    <x v="1"/>
    <s v="West"/>
    <n v="7154.95"/>
    <n v="27"/>
    <s v="Clothing"/>
    <n v="939.02"/>
    <n v="1286.92"/>
    <x v="0"/>
    <n v="7.0000000000000007E-2"/>
    <s v="Credit Card"/>
    <x v="1"/>
    <s v="West-David"/>
    <n v="7.0000000000000007E-2"/>
    <n v="6654.1034999999993"/>
  </r>
  <r>
    <n v="1011"/>
    <d v="2023-12-03T00:00:00"/>
    <x v="0"/>
    <s v="East"/>
    <n v="8186.12"/>
    <n v="13"/>
    <s v="Electronics"/>
    <n v="1442.69"/>
    <n v="1882.57"/>
    <x v="0"/>
    <n v="0.28000000000000003"/>
    <s v="Cash"/>
    <x v="0"/>
    <s v="East-Bob"/>
    <n v="0.28000000000000003"/>
    <n v="5894.0063999999993"/>
  </r>
  <r>
    <n v="1092"/>
    <d v="2023-03-25T00:00:00"/>
    <x v="4"/>
    <s v="West"/>
    <n v="1897.98"/>
    <n v="49"/>
    <s v="Furniture"/>
    <n v="2315"/>
    <n v="2467.2800000000002"/>
    <x v="1"/>
    <n v="0.15"/>
    <s v="Bank Transfer"/>
    <x v="1"/>
    <s v="West-Alice"/>
    <n v="0.15"/>
    <n v="1613.2829999999999"/>
  </r>
  <r>
    <n v="1057"/>
    <d v="2023-12-27T00:00:00"/>
    <x v="0"/>
    <s v="South"/>
    <n v="3772.32"/>
    <n v="31"/>
    <s v="Furniture"/>
    <n v="2403.16"/>
    <n v="2453.35"/>
    <x v="0"/>
    <n v="0.19"/>
    <s v="Credit Card"/>
    <x v="0"/>
    <s v="South-Bob"/>
    <n v="0.19"/>
    <n v="3055.5792000000001"/>
  </r>
  <r>
    <n v="1089"/>
    <d v="2023-06-26T00:00:00"/>
    <x v="3"/>
    <s v="North"/>
    <n v="9029.2099999999991"/>
    <n v="35"/>
    <s v="Furniture"/>
    <n v="3925.85"/>
    <n v="4082.1099999999901"/>
    <x v="1"/>
    <n v="0.22"/>
    <s v="Cash"/>
    <x v="0"/>
    <s v="North-Eve"/>
    <n v="0.22"/>
    <n v="7042.7837999999992"/>
  </r>
  <r>
    <n v="1050"/>
    <d v="2023-05-28T00:00:00"/>
    <x v="4"/>
    <s v="North"/>
    <n v="8086.27"/>
    <n v="6"/>
    <s v="Furniture"/>
    <n v="3763.26"/>
    <n v="4102.72"/>
    <x v="1"/>
    <n v="0.11"/>
    <s v="Credit Card"/>
    <x v="1"/>
    <s v="North-Alice"/>
    <n v="0.11"/>
    <n v="7196.7803000000004"/>
  </r>
  <r>
    <n v="1023"/>
    <d v="2023-04-28T00:00:00"/>
    <x v="2"/>
    <s v="North"/>
    <n v="9850.1"/>
    <n v="5"/>
    <s v="Electronics"/>
    <n v="2311.25"/>
    <n v="2482.34"/>
    <x v="0"/>
    <n v="0.22"/>
    <s v="Credit Card"/>
    <x v="1"/>
    <s v="North-Charlie"/>
    <n v="0.22"/>
    <n v="7683.0780000000004"/>
  </r>
  <r>
    <n v="1031"/>
    <d v="2023-12-08T00:00:00"/>
    <x v="1"/>
    <s v="North"/>
    <n v="7567.06"/>
    <n v="22"/>
    <s v="Food"/>
    <n v="4236.05"/>
    <n v="4382.32"/>
    <x v="1"/>
    <n v="0.2"/>
    <s v="Bank Transfer"/>
    <x v="0"/>
    <s v="North-David"/>
    <n v="0.2"/>
    <n v="6053.648000000001"/>
  </r>
  <r>
    <n v="1094"/>
    <d v="2023-03-04T00:00:00"/>
    <x v="0"/>
    <s v="North"/>
    <n v="3992.63"/>
    <n v="49"/>
    <s v="Food"/>
    <n v="615.47"/>
    <n v="715.84"/>
    <x v="0"/>
    <n v="0.21"/>
    <s v="Credit Card"/>
    <x v="1"/>
    <s v="North-Bob"/>
    <n v="0.21"/>
    <n v="3154.1777000000002"/>
  </r>
  <r>
    <n v="1042"/>
    <d v="2023-07-08T00:00:00"/>
    <x v="4"/>
    <s v="East"/>
    <n v="5947.31"/>
    <n v="23"/>
    <s v="Electronics"/>
    <n v="1314"/>
    <n v="1567.78"/>
    <x v="0"/>
    <n v="0.15"/>
    <s v="Credit Card"/>
    <x v="1"/>
    <s v="East-Alice"/>
    <n v="0.15"/>
    <n v="5055.2134999999998"/>
  </r>
  <r>
    <n v="1099"/>
    <d v="2023-12-26T00:00:00"/>
    <x v="3"/>
    <s v="West"/>
    <n v="6644.04"/>
    <n v="25"/>
    <s v="Electronics"/>
    <n v="4148.4799999999996"/>
    <n v="4293.6899999999996"/>
    <x v="1"/>
    <n v="0.11"/>
    <s v="Bank Transfer"/>
    <x v="0"/>
    <s v="West-Eve"/>
    <n v="0.11"/>
    <n v="5913.1956"/>
  </r>
  <r>
    <n v="1007"/>
    <d v="2023-02-18T00:00:00"/>
    <x v="4"/>
    <s v="South"/>
    <n v="876.71"/>
    <n v="34"/>
    <s v="Clothing"/>
    <n v="1921.07"/>
    <n v="2289.27"/>
    <x v="0"/>
    <n v="7.0000000000000007E-2"/>
    <s v="Bank Transfer"/>
    <x v="1"/>
    <s v="South-Alice"/>
    <n v="7.0000000000000007E-2"/>
    <n v="815.34029999999996"/>
  </r>
  <r>
    <n v="1016"/>
    <d v="2023-11-23T00:00:00"/>
    <x v="3"/>
    <s v="East"/>
    <n v="5490.52"/>
    <n v="26"/>
    <s v="Clothing"/>
    <n v="4906.8500000000004"/>
    <n v="4954.3900000000003"/>
    <x v="1"/>
    <n v="0.25"/>
    <s v="Bank Transfer"/>
    <x v="0"/>
    <s v="East-Eve"/>
    <n v="0.25"/>
    <n v="4117.8900000000003"/>
  </r>
  <r>
    <n v="1090"/>
    <d v="2023-09-14T00:00:00"/>
    <x v="2"/>
    <s v="West"/>
    <n v="7122.28"/>
    <n v="47"/>
    <s v="Clothing"/>
    <n v="2357.9499999999998"/>
    <n v="2693.33"/>
    <x v="1"/>
    <n v="0.18"/>
    <s v="Bank Transfer"/>
    <x v="0"/>
    <s v="West-Charlie"/>
    <n v="0.18"/>
    <n v="5840.2696000000005"/>
  </r>
  <r>
    <n v="1060"/>
    <d v="2023-08-12T00:00:00"/>
    <x v="1"/>
    <s v="North"/>
    <n v="1756.48"/>
    <n v="5"/>
    <s v="Furniture"/>
    <n v="3970.08"/>
    <n v="4096.4799999999996"/>
    <x v="0"/>
    <n v="0.13"/>
    <s v="Cash"/>
    <x v="1"/>
    <s v="North-David"/>
    <n v="0.13"/>
    <n v="1528.1376"/>
  </r>
  <r>
    <n v="1002"/>
    <d v="2023-05-21T00:00:00"/>
    <x v="2"/>
    <s v="West"/>
    <n v="7828.25"/>
    <n v="26"/>
    <s v="Clothing"/>
    <n v="2041.42"/>
    <n v="2291.17"/>
    <x v="0"/>
    <n v="0.28000000000000003"/>
    <s v="Cash"/>
    <x v="0"/>
    <s v="West-Charlie"/>
    <n v="0.28000000000000003"/>
    <n v="5636.34"/>
  </r>
  <r>
    <n v="1001"/>
    <d v="2023-08-03T00:00:00"/>
    <x v="0"/>
    <s v="West"/>
    <n v="5879.35"/>
    <n v="20"/>
    <s v="Food"/>
    <n v="2153.52"/>
    <n v="2303.6999999999998"/>
    <x v="0"/>
    <n v="0.01"/>
    <s v="Cash"/>
    <x v="1"/>
    <s v="West-Bob"/>
    <n v="0.01"/>
    <n v="5820.5565000000006"/>
  </r>
  <r>
    <n v="1048"/>
    <d v="2023-07-30T00:00:00"/>
    <x v="4"/>
    <s v="North"/>
    <n v="9527"/>
    <n v="6"/>
    <s v="Furniture"/>
    <n v="1945.27"/>
    <n v="2309.4299999999998"/>
    <x v="1"/>
    <n v="0.26"/>
    <s v="Credit Card"/>
    <x v="0"/>
    <s v="North-Alice"/>
    <n v="0.26"/>
    <n v="7049.98"/>
  </r>
  <r>
    <n v="1012"/>
    <d v="2023-11-14T00:00:00"/>
    <x v="3"/>
    <s v="North"/>
    <n v="519.98"/>
    <n v="6"/>
    <s v="Clothing"/>
    <n v="3609.42"/>
    <n v="4082.62"/>
    <x v="0"/>
    <n v="0.3"/>
    <s v="Bank Transfer"/>
    <x v="1"/>
    <s v="North-Eve"/>
    <n v="0.3"/>
    <n v="363.98599999999999"/>
  </r>
  <r>
    <n v="1069"/>
    <d v="2023-02-01T00:00:00"/>
    <x v="3"/>
    <s v="North"/>
    <n v="2726.73"/>
    <n v="18"/>
    <s v="Furniture"/>
    <n v="2760.21"/>
    <n v="3219.58"/>
    <x v="1"/>
    <n v="0.27"/>
    <s v="Bank Transfer"/>
    <x v="1"/>
    <s v="North-Eve"/>
    <n v="0.27"/>
    <n v="1990.5128999999999"/>
  </r>
  <r>
    <n v="1037"/>
    <d v="2023-06-07T00:00:00"/>
    <x v="4"/>
    <s v="South"/>
    <n v="6055.38"/>
    <n v="4"/>
    <s v="Food"/>
    <n v="4721.7"/>
    <n v="5017.58"/>
    <x v="1"/>
    <n v="0.24"/>
    <s v="Cash"/>
    <x v="1"/>
    <s v="South-Alice"/>
    <n v="0.24"/>
    <n v="4602.0888000000004"/>
  </r>
  <r>
    <n v="1032"/>
    <d v="2023-10-12T00:00:00"/>
    <x v="4"/>
    <s v="North"/>
    <n v="3035.94"/>
    <n v="17"/>
    <s v="Clothing"/>
    <n v="1291.9100000000001"/>
    <n v="1528.59"/>
    <x v="0"/>
    <n v="0.11"/>
    <s v="Credit Card"/>
    <x v="1"/>
    <s v="North-Alice"/>
    <n v="0.11"/>
    <n v="2701.9866000000002"/>
  </r>
  <r>
    <n v="1009"/>
    <d v="2023-11-01T00:00:00"/>
    <x v="0"/>
    <s v="South"/>
    <n v="7172.8"/>
    <n v="14"/>
    <s v="Food"/>
    <n v="547.79"/>
    <n v="958.76"/>
    <x v="0"/>
    <n v="7.0000000000000007E-2"/>
    <s v="Credit Card"/>
    <x v="1"/>
    <s v="South-Bob"/>
    <n v="7.0000000000000007E-2"/>
    <n v="6670.7039999999997"/>
  </r>
  <r>
    <n v="1099"/>
    <d v="2023-10-13T00:00:00"/>
    <x v="2"/>
    <s v="North"/>
    <n v="7614.15"/>
    <n v="14"/>
    <s v="Food"/>
    <n v="1996.64"/>
    <n v="2341.4699999999998"/>
    <x v="0"/>
    <n v="0.22"/>
    <s v="Credit Card"/>
    <x v="0"/>
    <s v="North-Charlie"/>
    <n v="0.22"/>
    <n v="5939.0370000000003"/>
  </r>
  <r>
    <n v="1019"/>
    <d v="2023-05-24T00:00:00"/>
    <x v="3"/>
    <s v="South"/>
    <n v="1114.9100000000001"/>
    <n v="13"/>
    <s v="Food"/>
    <n v="3102.73"/>
    <n v="3202.68"/>
    <x v="1"/>
    <n v="0.09"/>
    <s v="Cash"/>
    <x v="0"/>
    <s v="South-Eve"/>
    <n v="0.09"/>
    <n v="1014.5681000000001"/>
  </r>
  <r>
    <n v="1048"/>
    <d v="2023-01-19T00:00:00"/>
    <x v="0"/>
    <s v="West"/>
    <n v="5187.16"/>
    <n v="7"/>
    <s v="Clothing"/>
    <n v="4310.95"/>
    <n v="4723.2"/>
    <x v="0"/>
    <n v="0.05"/>
    <s v="Credit Card"/>
    <x v="1"/>
    <s v="West-Bob"/>
    <n v="0.05"/>
    <n v="4927.8019999999997"/>
  </r>
  <r>
    <n v="1080"/>
    <d v="2023-01-18T00:00:00"/>
    <x v="2"/>
    <s v="East"/>
    <n v="5138.0200000000004"/>
    <n v="44"/>
    <s v="Electronics"/>
    <n v="1763.67"/>
    <n v="1983.82"/>
    <x v="1"/>
    <n v="0.24"/>
    <s v="Credit Card"/>
    <x v="0"/>
    <s v="East-Charlie"/>
    <n v="0.24"/>
    <n v="3904.8952000000004"/>
  </r>
  <r>
    <n v="1003"/>
    <d v="2023-09-14T00:00:00"/>
    <x v="0"/>
    <s v="West"/>
    <n v="3755.88"/>
    <n v="15"/>
    <s v="Clothing"/>
    <n v="3286.24"/>
    <n v="3388.8399999999901"/>
    <x v="0"/>
    <n v="0.09"/>
    <s v="Credit Card"/>
    <x v="1"/>
    <s v="West-Bob"/>
    <n v="0.09"/>
    <n v="3417.8508000000002"/>
  </r>
  <r>
    <n v="1020"/>
    <d v="2023-03-19T00:00:00"/>
    <x v="3"/>
    <s v="West"/>
    <n v="9335.9599999999991"/>
    <n v="19"/>
    <s v="Food"/>
    <n v="1783.48"/>
    <n v="1931.56"/>
    <x v="0"/>
    <n v="0.27"/>
    <s v="Bank Transfer"/>
    <x v="1"/>
    <s v="West-Eve"/>
    <n v="0.27"/>
    <n v="6815.2507999999989"/>
  </r>
  <r>
    <n v="1024"/>
    <d v="2023-06-24T00:00:00"/>
    <x v="4"/>
    <s v="North"/>
    <n v="8292.31"/>
    <n v="43"/>
    <s v="Clothing"/>
    <n v="3105.24"/>
    <n v="3246.33"/>
    <x v="1"/>
    <n v="0.25"/>
    <s v="Cash"/>
    <x v="0"/>
    <s v="North-Alice"/>
    <n v="0.25"/>
    <n v="6219.2325000000001"/>
  </r>
  <r>
    <n v="1054"/>
    <d v="2023-07-13T00:00:00"/>
    <x v="4"/>
    <s v="South"/>
    <n v="7002.37"/>
    <n v="47"/>
    <s v="Food"/>
    <n v="4429.8"/>
    <n v="4694.21"/>
    <x v="1"/>
    <n v="0.25"/>
    <s v="Bank Transfer"/>
    <x v="0"/>
    <s v="South-Alice"/>
    <n v="0.25"/>
    <n v="5251.7775000000001"/>
  </r>
  <r>
    <n v="1033"/>
    <d v="2023-04-23T00:00:00"/>
    <x v="2"/>
    <s v="East"/>
    <n v="7171.83"/>
    <n v="44"/>
    <s v="Electronics"/>
    <n v="1195.22"/>
    <n v="1320.06"/>
    <x v="0"/>
    <n v="0.23"/>
    <s v="Bank Transfer"/>
    <x v="1"/>
    <s v="East-Charlie"/>
    <n v="0.23"/>
    <n v="5522.3091000000004"/>
  </r>
  <r>
    <n v="1024"/>
    <d v="2023-04-24T00:00:00"/>
    <x v="1"/>
    <s v="North"/>
    <n v="4670.99"/>
    <n v="35"/>
    <s v="Furniture"/>
    <n v="2051"/>
    <n v="2121.5500000000002"/>
    <x v="0"/>
    <n v="0.26"/>
    <s v="Cash"/>
    <x v="1"/>
    <s v="North-David"/>
    <n v="0.26"/>
    <n v="3456.5326"/>
  </r>
  <r>
    <n v="1075"/>
    <d v="2023-08-10T00:00:00"/>
    <x v="2"/>
    <s v="North"/>
    <n v="9217.85"/>
    <n v="17"/>
    <s v="Electronics"/>
    <n v="4966.66"/>
    <n v="5037.2699999999904"/>
    <x v="0"/>
    <n v="0.24"/>
    <s v="Bank Transfer"/>
    <x v="1"/>
    <s v="North-Charlie"/>
    <n v="0.24"/>
    <n v="7005.5660000000007"/>
  </r>
  <r>
    <n v="1072"/>
    <d v="2023-06-15T00:00:00"/>
    <x v="1"/>
    <s v="North"/>
    <n v="6976.49"/>
    <n v="35"/>
    <s v="Electronics"/>
    <n v="4349.3599999999997"/>
    <n v="4645.17"/>
    <x v="0"/>
    <n v="0.18"/>
    <s v="Credit Card"/>
    <x v="1"/>
    <s v="North-David"/>
    <n v="0.18"/>
    <n v="5720.7218000000003"/>
  </r>
  <r>
    <n v="1036"/>
    <d v="2023-11-15T00:00:00"/>
    <x v="0"/>
    <s v="West"/>
    <n v="7316.91"/>
    <n v="19"/>
    <s v="Furniture"/>
    <n v="2844.97"/>
    <n v="3215"/>
    <x v="0"/>
    <n v="0.09"/>
    <s v="Credit Card"/>
    <x v="1"/>
    <s v="West-Bob"/>
    <n v="0.09"/>
    <n v="6658.3881000000001"/>
  </r>
  <r>
    <n v="1038"/>
    <d v="2023-05-12T00:00:00"/>
    <x v="0"/>
    <s v="South"/>
    <n v="8630.74"/>
    <n v="20"/>
    <s v="Clothing"/>
    <n v="2607.31"/>
    <n v="2774.86"/>
    <x v="1"/>
    <n v="0.27"/>
    <s v="Credit Card"/>
    <x v="1"/>
    <s v="South-Bob"/>
    <n v="0.27"/>
    <n v="6300.4402"/>
  </r>
  <r>
    <n v="1084"/>
    <d v="2023-09-21T00:00:00"/>
    <x v="3"/>
    <s v="South"/>
    <n v="2813.31"/>
    <n v="36"/>
    <s v="Furniture"/>
    <n v="1458.77"/>
    <n v="1485.75"/>
    <x v="1"/>
    <n v="0.25"/>
    <s v="Credit Card"/>
    <x v="0"/>
    <s v="South-Eve"/>
    <n v="0.25"/>
    <n v="2109.9825000000001"/>
  </r>
  <r>
    <n v="1099"/>
    <d v="2023-02-24T00:00:00"/>
    <x v="1"/>
    <s v="East"/>
    <n v="8090"/>
    <n v="35"/>
    <s v="Clothing"/>
    <n v="2610.19"/>
    <n v="2682.53"/>
    <x v="1"/>
    <n v="0.14000000000000001"/>
    <s v="Cash"/>
    <x v="1"/>
    <s v="East-David"/>
    <n v="0.14000000000000001"/>
    <n v="6957.4"/>
  </r>
  <r>
    <n v="1089"/>
    <d v="2023-12-25T00:00:00"/>
    <x v="3"/>
    <s v="South"/>
    <n v="2032.88"/>
    <n v="32"/>
    <s v="Clothing"/>
    <n v="4248.5"/>
    <n v="4706.7"/>
    <x v="1"/>
    <n v="0.01"/>
    <s v="Bank Transfer"/>
    <x v="1"/>
    <s v="South-Eve"/>
    <n v="0.01"/>
    <n v="2012.5512000000001"/>
  </r>
  <r>
    <n v="1099"/>
    <d v="2023-05-11T00:00:00"/>
    <x v="4"/>
    <s v="South"/>
    <n v="3518.89"/>
    <n v="48"/>
    <s v="Food"/>
    <n v="3441.61"/>
    <n v="3693.45"/>
    <x v="0"/>
    <n v="0.19"/>
    <s v="Bank Transfer"/>
    <x v="0"/>
    <s v="South-Alice"/>
    <n v="0.19"/>
    <n v="2850.3009000000002"/>
  </r>
  <r>
    <n v="1025"/>
    <d v="2023-10-15T00:00:00"/>
    <x v="1"/>
    <s v="North"/>
    <n v="3422.54"/>
    <n v="44"/>
    <s v="Food"/>
    <n v="1485.72"/>
    <n v="1717.97"/>
    <x v="1"/>
    <n v="0.02"/>
    <s v="Credit Card"/>
    <x v="1"/>
    <s v="North-David"/>
    <n v="0.02"/>
    <n v="3354.0891999999999"/>
  </r>
  <r>
    <n v="1093"/>
    <d v="2023-09-23T00:00:00"/>
    <x v="2"/>
    <s v="North"/>
    <n v="9787.4"/>
    <n v="40"/>
    <s v="Furniture"/>
    <n v="1047.25"/>
    <n v="1075.8900000000001"/>
    <x v="1"/>
    <n v="0.28000000000000003"/>
    <s v="Credit Card"/>
    <x v="1"/>
    <s v="North-Charlie"/>
    <n v="0.28000000000000003"/>
    <n v="7046.9279999999999"/>
  </r>
  <r>
    <n v="1018"/>
    <d v="2024-01-01T00:00:00"/>
    <x v="4"/>
    <s v="West"/>
    <n v="8579.7199999999993"/>
    <n v="24"/>
    <s v="Electronics"/>
    <n v="1362.78"/>
    <n v="1729.81"/>
    <x v="1"/>
    <n v="0.28999999999999998"/>
    <s v="Bank Transfer"/>
    <x v="0"/>
    <s v="West-Alice"/>
    <n v="0.28999999999999998"/>
    <n v="6091.6011999999992"/>
  </r>
  <r>
    <n v="1082"/>
    <d v="2023-06-11T00:00:00"/>
    <x v="4"/>
    <s v="North"/>
    <n v="7041.58"/>
    <n v="17"/>
    <s v="Furniture"/>
    <n v="890.31"/>
    <n v="1159.06"/>
    <x v="0"/>
    <n v="0.06"/>
    <s v="Cash"/>
    <x v="1"/>
    <s v="North-Alice"/>
    <n v="0.06"/>
    <n v="6619.0851999999995"/>
  </r>
  <r>
    <n v="1066"/>
    <d v="2023-03-28T00:00:00"/>
    <x v="2"/>
    <s v="North"/>
    <n v="7297.86"/>
    <n v="7"/>
    <s v="Clothing"/>
    <n v="523.41999999999996"/>
    <n v="632.43999999999903"/>
    <x v="1"/>
    <n v="0.2"/>
    <s v="Bank Transfer"/>
    <x v="0"/>
    <s v="North-Charlie"/>
    <n v="0.2"/>
    <n v="5838.2880000000005"/>
  </r>
  <r>
    <n v="1054"/>
    <d v="2023-02-24T00:00:00"/>
    <x v="4"/>
    <s v="North"/>
    <n v="5664.52"/>
    <n v="43"/>
    <s v="Food"/>
    <n v="2124.7199999999998"/>
    <n v="2188.66"/>
    <x v="0"/>
    <n v="0.03"/>
    <s v="Credit Card"/>
    <x v="1"/>
    <s v="North-Alice"/>
    <n v="0.03"/>
    <n v="5494.5844000000006"/>
  </r>
  <r>
    <n v="1035"/>
    <d v="2023-10-15T00:00:00"/>
    <x v="1"/>
    <s v="North"/>
    <n v="9476.2000000000007"/>
    <n v="1"/>
    <s v="Furniture"/>
    <n v="610.83000000000004"/>
    <n v="808.69"/>
    <x v="1"/>
    <n v="0.22"/>
    <s v="Credit Card"/>
    <x v="0"/>
    <s v="North-David"/>
    <n v="0.22"/>
    <n v="7391.4360000000006"/>
  </r>
  <r>
    <n v="1080"/>
    <d v="2023-06-27T00:00:00"/>
    <x v="3"/>
    <s v="West"/>
    <n v="5012.96"/>
    <n v="35"/>
    <s v="Furniture"/>
    <n v="900.97"/>
    <n v="1321.18"/>
    <x v="0"/>
    <n v="0.1"/>
    <s v="Cash"/>
    <x v="0"/>
    <s v="West-Eve"/>
    <n v="0.1"/>
    <n v="4511.6639999999998"/>
  </r>
  <r>
    <n v="1061"/>
    <d v="2023-12-15T00:00:00"/>
    <x v="4"/>
    <s v="North"/>
    <n v="3867.13"/>
    <n v="32"/>
    <s v="Food"/>
    <n v="2759.26"/>
    <n v="3193.25"/>
    <x v="1"/>
    <n v="0.2"/>
    <s v="Bank Transfer"/>
    <x v="0"/>
    <s v="North-Alice"/>
    <n v="0.2"/>
    <n v="3093.7040000000002"/>
  </r>
  <r>
    <n v="1041"/>
    <d v="2023-01-08T00:00:00"/>
    <x v="1"/>
    <s v="East"/>
    <n v="1714.05"/>
    <n v="36"/>
    <s v="Food"/>
    <n v="864.77"/>
    <n v="1170.1599999999901"/>
    <x v="0"/>
    <n v="0.11"/>
    <s v="Cash"/>
    <x v="1"/>
    <s v="East-David"/>
    <n v="0.11"/>
    <n v="1525.5045"/>
  </r>
  <r>
    <n v="1100"/>
    <d v="2023-11-17T00:00:00"/>
    <x v="0"/>
    <s v="East"/>
    <n v="7883.44"/>
    <n v="13"/>
    <s v="Food"/>
    <n v="366.2"/>
    <n v="732.69"/>
    <x v="1"/>
    <n v="0.04"/>
    <s v="Cash"/>
    <x v="1"/>
    <s v="East-Bob"/>
    <n v="0.04"/>
    <n v="7568.1023999999998"/>
  </r>
  <r>
    <n v="1033"/>
    <d v="2023-11-09T00:00:00"/>
    <x v="1"/>
    <s v="East"/>
    <n v="7370.99"/>
    <n v="6"/>
    <s v="Clothing"/>
    <n v="1621.07"/>
    <n v="1687.5"/>
    <x v="0"/>
    <n v="0.12"/>
    <s v="Credit Card"/>
    <x v="0"/>
    <s v="East-David"/>
    <n v="0.12"/>
    <n v="6486.4712"/>
  </r>
  <r>
    <n v="1068"/>
    <d v="2023-09-04T00:00:00"/>
    <x v="3"/>
    <s v="East"/>
    <n v="3905.11"/>
    <n v="14"/>
    <s v="Food"/>
    <n v="1140.58"/>
    <n v="1438.76"/>
    <x v="0"/>
    <n v="0.03"/>
    <s v="Bank Transfer"/>
    <x v="0"/>
    <s v="East-Eve"/>
    <n v="0.03"/>
    <n v="3787.9567000000002"/>
  </r>
  <r>
    <n v="1033"/>
    <d v="2023-11-19T00:00:00"/>
    <x v="1"/>
    <s v="North"/>
    <n v="349.41"/>
    <n v="37"/>
    <s v="Electronics"/>
    <n v="2600.7600000000002"/>
    <n v="2937.57"/>
    <x v="1"/>
    <n v="0.17"/>
    <s v="Credit Card"/>
    <x v="1"/>
    <s v="North-David"/>
    <n v="0.17"/>
    <n v="290.01030000000003"/>
  </r>
  <r>
    <n v="1014"/>
    <d v="2023-09-12T00:00:00"/>
    <x v="2"/>
    <s v="East"/>
    <n v="8406.07"/>
    <n v="48"/>
    <s v="Furniture"/>
    <n v="556.72"/>
    <n v="665.07"/>
    <x v="0"/>
    <n v="0.01"/>
    <s v="Bank Transfer"/>
    <x v="1"/>
    <s v="East-Charlie"/>
    <n v="0.01"/>
    <n v="8322.0092999999997"/>
  </r>
  <r>
    <n v="1021"/>
    <d v="2023-11-24T00:00:00"/>
    <x v="3"/>
    <s v="North"/>
    <n v="213.04"/>
    <n v="15"/>
    <s v="Food"/>
    <n v="3771.27"/>
    <n v="4212.55"/>
    <x v="0"/>
    <n v="0.16"/>
    <s v="Credit Card"/>
    <x v="1"/>
    <s v="North-Eve"/>
    <n v="0.16"/>
    <n v="178.95359999999999"/>
  </r>
  <r>
    <n v="1048"/>
    <d v="2023-02-23T00:00:00"/>
    <x v="0"/>
    <s v="West"/>
    <n v="7066.63"/>
    <n v="47"/>
    <s v="Food"/>
    <n v="4535.8599999999997"/>
    <n v="4641.41"/>
    <x v="1"/>
    <n v="0.27"/>
    <s v="Credit Card"/>
    <x v="1"/>
    <s v="West-Bob"/>
    <n v="0.27"/>
    <n v="5158.6399000000001"/>
  </r>
  <r>
    <n v="1020"/>
    <d v="2023-09-06T00:00:00"/>
    <x v="2"/>
    <s v="East"/>
    <n v="9705.5499999999993"/>
    <n v="4"/>
    <s v="Clothing"/>
    <n v="3730"/>
    <n v="3893.6"/>
    <x v="1"/>
    <n v="0.25"/>
    <s v="Bank Transfer"/>
    <x v="1"/>
    <s v="East-Charlie"/>
    <n v="0.25"/>
    <n v="7279.1624999999995"/>
  </r>
  <r>
    <n v="1008"/>
    <d v="2023-08-27T00:00:00"/>
    <x v="1"/>
    <s v="South"/>
    <n v="4432.8500000000004"/>
    <n v="40"/>
    <s v="Clothing"/>
    <n v="2687.49"/>
    <n v="3001.56"/>
    <x v="0"/>
    <n v="0.26"/>
    <s v="Bank Transfer"/>
    <x v="0"/>
    <s v="South-David"/>
    <n v="0.26"/>
    <n v="3280.3090000000002"/>
  </r>
  <r>
    <n v="1007"/>
    <d v="2023-08-17T00:00:00"/>
    <x v="3"/>
    <s v="East"/>
    <n v="2426.2399999999998"/>
    <n v="16"/>
    <s v="Furniture"/>
    <n v="4310.3100000000004"/>
    <n v="4633.1000000000004"/>
    <x v="1"/>
    <n v="0.28000000000000003"/>
    <s v="Credit Card"/>
    <x v="1"/>
    <s v="East-Eve"/>
    <n v="0.28000000000000003"/>
    <n v="1746.8927999999999"/>
  </r>
  <r>
    <n v="1067"/>
    <d v="2023-03-08T00:00:00"/>
    <x v="0"/>
    <s v="East"/>
    <n v="7078.22"/>
    <n v="28"/>
    <s v="Electronics"/>
    <n v="3489.85"/>
    <n v="3842.5499999999902"/>
    <x v="1"/>
    <n v="0.03"/>
    <s v="Bank Transfer"/>
    <x v="0"/>
    <s v="East-Bob"/>
    <n v="0.03"/>
    <n v="6865.8734000000004"/>
  </r>
  <r>
    <n v="1017"/>
    <d v="2023-02-20T00:00:00"/>
    <x v="2"/>
    <s v="North"/>
    <n v="8189.57"/>
    <n v="16"/>
    <s v="Furniture"/>
    <n v="102.23"/>
    <n v="167.12"/>
    <x v="1"/>
    <n v="0.04"/>
    <s v="Credit Card"/>
    <x v="1"/>
    <s v="North-Charlie"/>
    <n v="0.04"/>
    <n v="7861.9871999999996"/>
  </r>
  <r>
    <n v="1033"/>
    <d v="2023-04-07T00:00:00"/>
    <x v="0"/>
    <s v="East"/>
    <n v="5509.66"/>
    <n v="4"/>
    <s v="Food"/>
    <n v="2000.75"/>
    <n v="2426.9899999999998"/>
    <x v="0"/>
    <n v="0.17"/>
    <s v="Bank Transfer"/>
    <x v="0"/>
    <s v="East-Bob"/>
    <n v="0.17"/>
    <n v="4573.0177999999996"/>
  </r>
  <r>
    <n v="1048"/>
    <d v="2023-04-02T00:00:00"/>
    <x v="1"/>
    <s v="South"/>
    <n v="9673.65"/>
    <n v="45"/>
    <s v="Electronics"/>
    <n v="4262.21"/>
    <n v="4533.3100000000004"/>
    <x v="0"/>
    <n v="0.27"/>
    <s v="Credit Card"/>
    <x v="0"/>
    <s v="South-David"/>
    <n v="0.27"/>
    <n v="7061.7644999999993"/>
  </r>
  <r>
    <n v="1076"/>
    <d v="2023-09-21T00:00:00"/>
    <x v="0"/>
    <s v="North"/>
    <n v="611.52"/>
    <n v="26"/>
    <s v="Electronics"/>
    <n v="1762"/>
    <n v="2002.95"/>
    <x v="0"/>
    <n v="0.28999999999999998"/>
    <s v="Credit Card"/>
    <x v="1"/>
    <s v="North-Bob"/>
    <n v="0.28999999999999998"/>
    <n v="434.17919999999998"/>
  </r>
  <r>
    <n v="1059"/>
    <d v="2023-10-18T00:00:00"/>
    <x v="4"/>
    <s v="North"/>
    <n v="5097.4799999999996"/>
    <n v="28"/>
    <s v="Electronics"/>
    <n v="224.32"/>
    <n v="715.06"/>
    <x v="0"/>
    <n v="0.01"/>
    <s v="Credit Card"/>
    <x v="0"/>
    <s v="North-Alice"/>
    <n v="0.01"/>
    <n v="5046.5051999999996"/>
  </r>
  <r>
    <n v="1086"/>
    <d v="2023-04-06T00:00:00"/>
    <x v="2"/>
    <s v="West"/>
    <n v="7212.69"/>
    <n v="32"/>
    <s v="Electronics"/>
    <n v="3743.59"/>
    <n v="4116.38"/>
    <x v="0"/>
    <n v="0.11"/>
    <s v="Cash"/>
    <x v="0"/>
    <s v="West-Charlie"/>
    <n v="0.11"/>
    <n v="6419.2941000000001"/>
  </r>
  <r>
    <n v="1022"/>
    <d v="2023-03-29T00:00:00"/>
    <x v="0"/>
    <s v="West"/>
    <n v="8640.14"/>
    <n v="45"/>
    <s v="Furniture"/>
    <n v="4020.09"/>
    <n v="4087.91"/>
    <x v="0"/>
    <n v="0.06"/>
    <s v="Bank Transfer"/>
    <x v="0"/>
    <s v="West-Bob"/>
    <n v="0.06"/>
    <n v="8121.7315999999992"/>
  </r>
  <r>
    <n v="1030"/>
    <d v="2023-03-19T00:00:00"/>
    <x v="1"/>
    <s v="East"/>
    <n v="1874.63"/>
    <n v="2"/>
    <s v="Clothing"/>
    <n v="844.94"/>
    <n v="1225.6400000000001"/>
    <x v="0"/>
    <n v="0.23"/>
    <s v="Credit Card"/>
    <x v="0"/>
    <s v="East-David"/>
    <n v="0.23"/>
    <n v="1443.4651000000001"/>
  </r>
  <r>
    <n v="1038"/>
    <d v="2023-10-15T00:00:00"/>
    <x v="1"/>
    <s v="West"/>
    <n v="8020.03"/>
    <n v="31"/>
    <s v="Clothing"/>
    <n v="2709.84"/>
    <n v="2766.51"/>
    <x v="1"/>
    <n v="0.19"/>
    <s v="Cash"/>
    <x v="1"/>
    <s v="West-David"/>
    <n v="0.19"/>
    <n v="6496.2242999999999"/>
  </r>
  <r>
    <n v="1051"/>
    <d v="2023-04-30T00:00:00"/>
    <x v="0"/>
    <s v="West"/>
    <n v="5571.8"/>
    <n v="3"/>
    <s v="Food"/>
    <n v="1000.18"/>
    <n v="1023.64"/>
    <x v="0"/>
    <n v="0.04"/>
    <s v="Credit Card"/>
    <x v="0"/>
    <s v="West-Bob"/>
    <n v="0.04"/>
    <n v="5348.9279999999999"/>
  </r>
  <r>
    <n v="1054"/>
    <d v="2023-10-29T00:00:00"/>
    <x v="1"/>
    <s v="West"/>
    <n v="4025.88"/>
    <n v="8"/>
    <s v="Clothing"/>
    <n v="3610.21"/>
    <n v="3817.99"/>
    <x v="0"/>
    <n v="0.15"/>
    <s v="Cash"/>
    <x v="1"/>
    <s v="West-David"/>
    <n v="0.15"/>
    <n v="3421.998"/>
  </r>
  <r>
    <n v="1008"/>
    <d v="2023-06-14T00:00:00"/>
    <x v="3"/>
    <s v="North"/>
    <n v="1403.98"/>
    <n v="24"/>
    <s v="Clothing"/>
    <n v="1394.17"/>
    <n v="1891.02"/>
    <x v="1"/>
    <n v="0.21"/>
    <s v="Credit Card"/>
    <x v="0"/>
    <s v="North-Eve"/>
    <n v="0.21"/>
    <n v="1109.1442"/>
  </r>
  <r>
    <n v="1027"/>
    <d v="2023-07-01T00:00:00"/>
    <x v="3"/>
    <s v="North"/>
    <n v="8666.43"/>
    <n v="15"/>
    <s v="Clothing"/>
    <n v="1615.26"/>
    <n v="1710.95"/>
    <x v="1"/>
    <n v="0.23"/>
    <s v="Credit Card"/>
    <x v="1"/>
    <s v="North-Eve"/>
    <n v="0.23"/>
    <n v="6673.1511"/>
  </r>
  <r>
    <n v="1027"/>
    <d v="2023-08-11T00:00:00"/>
    <x v="3"/>
    <s v="North"/>
    <n v="1657"/>
    <n v="43"/>
    <s v="Clothing"/>
    <n v="4232.6099999999997"/>
    <n v="4572.21"/>
    <x v="1"/>
    <n v="0.01"/>
    <s v="Cash"/>
    <x v="1"/>
    <s v="North-Eve"/>
    <n v="0.01"/>
    <n v="1640.43"/>
  </r>
  <r>
    <n v="1098"/>
    <d v="2023-11-07T00:00:00"/>
    <x v="4"/>
    <s v="West"/>
    <n v="3166.9"/>
    <n v="31"/>
    <s v="Food"/>
    <n v="2407.8000000000002"/>
    <n v="2502.7600000000002"/>
    <x v="0"/>
    <n v="0.27"/>
    <s v="Cash"/>
    <x v="1"/>
    <s v="West-Alice"/>
    <n v="0.27"/>
    <n v="2311.837"/>
  </r>
  <r>
    <n v="1021"/>
    <d v="2023-01-07T00:00:00"/>
    <x v="0"/>
    <s v="North"/>
    <n v="2971.45"/>
    <n v="9"/>
    <s v="Furniture"/>
    <n v="3365.28"/>
    <n v="3730.43"/>
    <x v="1"/>
    <n v="0.17"/>
    <s v="Bank Transfer"/>
    <x v="0"/>
    <s v="North-Bob"/>
    <n v="0.17"/>
    <n v="2466.3034999999995"/>
  </r>
  <r>
    <n v="1030"/>
    <d v="2023-11-26T00:00:00"/>
    <x v="4"/>
    <s v="West"/>
    <n v="8727"/>
    <n v="39"/>
    <s v="Electronics"/>
    <n v="2041.75"/>
    <n v="2299.37"/>
    <x v="0"/>
    <n v="0.24"/>
    <s v="Bank Transfer"/>
    <x v="1"/>
    <s v="West-Alice"/>
    <n v="0.24"/>
    <n v="6632.52"/>
  </r>
  <r>
    <n v="1097"/>
    <d v="2023-09-20T00:00:00"/>
    <x v="1"/>
    <s v="North"/>
    <n v="6759.76"/>
    <n v="45"/>
    <s v="Clothing"/>
    <n v="1525.13"/>
    <n v="1868.32"/>
    <x v="0"/>
    <n v="0.24"/>
    <s v="Cash"/>
    <x v="1"/>
    <s v="North-David"/>
    <n v="0.24"/>
    <n v="5137.4176000000007"/>
  </r>
  <r>
    <n v="1028"/>
    <d v="2023-06-10T00:00:00"/>
    <x v="4"/>
    <s v="North"/>
    <n v="7987.15"/>
    <n v="2"/>
    <s v="Furniture"/>
    <n v="3146.12"/>
    <n v="3255.5299999999902"/>
    <x v="0"/>
    <n v="0.06"/>
    <s v="Bank Transfer"/>
    <x v="0"/>
    <s v="North-Alice"/>
    <n v="0.06"/>
    <n v="7507.9209999999994"/>
  </r>
  <r>
    <n v="1064"/>
    <d v="2023-05-31T00:00:00"/>
    <x v="1"/>
    <s v="South"/>
    <n v="2579.63"/>
    <n v="8"/>
    <s v="Clothing"/>
    <n v="816.54"/>
    <n v="1191.9000000000001"/>
    <x v="1"/>
    <n v="0.03"/>
    <s v="Cash"/>
    <x v="1"/>
    <s v="South-David"/>
    <n v="0.03"/>
    <n v="2502.2411000000002"/>
  </r>
  <r>
    <n v="1097"/>
    <d v="2023-03-26T00:00:00"/>
    <x v="1"/>
    <s v="East"/>
    <n v="6286.25"/>
    <n v="7"/>
    <s v="Clothing"/>
    <n v="1896.35"/>
    <n v="2394.1999999999998"/>
    <x v="1"/>
    <n v="0.22"/>
    <s v="Bank Transfer"/>
    <x v="0"/>
    <s v="East-David"/>
    <n v="0.22"/>
    <n v="4903.2750000000005"/>
  </r>
  <r>
    <n v="1069"/>
    <d v="2023-05-27T00:00:00"/>
    <x v="2"/>
    <s v="West"/>
    <n v="5760.29"/>
    <n v="44"/>
    <s v="Electronics"/>
    <n v="1084.73"/>
    <n v="1420.9"/>
    <x v="0"/>
    <n v="0.05"/>
    <s v="Credit Card"/>
    <x v="0"/>
    <s v="West-Charlie"/>
    <n v="0.05"/>
    <n v="5472.2754999999997"/>
  </r>
  <r>
    <n v="1061"/>
    <d v="2023-04-22T00:00:00"/>
    <x v="3"/>
    <s v="South"/>
    <n v="8345.02"/>
    <n v="39"/>
    <s v="Electronics"/>
    <n v="3494.19"/>
    <n v="3746"/>
    <x v="0"/>
    <n v="0.25"/>
    <s v="Bank Transfer"/>
    <x v="1"/>
    <s v="South-Eve"/>
    <n v="0.25"/>
    <n v="6258.7650000000003"/>
  </r>
  <r>
    <n v="1048"/>
    <d v="2023-02-05T00:00:00"/>
    <x v="1"/>
    <s v="North"/>
    <n v="9070.26"/>
    <n v="42"/>
    <s v="Electronics"/>
    <n v="4723.83"/>
    <n v="5186.1899999999996"/>
    <x v="0"/>
    <n v="0.22"/>
    <s v="Credit Card"/>
    <x v="0"/>
    <s v="North-David"/>
    <n v="0.22"/>
    <n v="7074.8028000000004"/>
  </r>
  <r>
    <n v="1019"/>
    <d v="2023-10-12T00:00:00"/>
    <x v="2"/>
    <s v="West"/>
    <n v="220.35"/>
    <n v="16"/>
    <s v="Clothing"/>
    <n v="4977.78"/>
    <n v="4995.55"/>
    <x v="1"/>
    <n v="0.25"/>
    <s v="Credit Card"/>
    <x v="0"/>
    <s v="West-Charlie"/>
    <n v="0.25"/>
    <n v="165.26249999999999"/>
  </r>
  <r>
    <n v="1004"/>
    <d v="2023-07-07T00:00:00"/>
    <x v="3"/>
    <s v="North"/>
    <n v="6772.8"/>
    <n v="35"/>
    <s v="Clothing"/>
    <n v="2278.87"/>
    <n v="2646.5299999999902"/>
    <x v="0"/>
    <n v="0.09"/>
    <s v="Bank Transfer"/>
    <x v="0"/>
    <s v="North-Eve"/>
    <n v="0.09"/>
    <n v="6163.2480000000005"/>
  </r>
  <r>
    <n v="1035"/>
    <d v="2023-03-23T00:00:00"/>
    <x v="1"/>
    <s v="East"/>
    <n v="613.16999999999996"/>
    <n v="30"/>
    <s v="Clothing"/>
    <n v="1300.03"/>
    <n v="1745.52"/>
    <x v="1"/>
    <n v="0.09"/>
    <s v="Cash"/>
    <x v="1"/>
    <s v="East-David"/>
    <n v="0.09"/>
    <n v="557.98469999999998"/>
  </r>
  <r>
    <n v="1064"/>
    <d v="2023-01-02T00:00:00"/>
    <x v="1"/>
    <s v="South"/>
    <n v="5533.7"/>
    <n v="10"/>
    <s v="Electronics"/>
    <n v="2242.0100000000002"/>
    <n v="2282.23"/>
    <x v="0"/>
    <n v="0.2"/>
    <s v="Credit Card"/>
    <x v="0"/>
    <s v="South-David"/>
    <n v="0.2"/>
    <n v="4426.96"/>
  </r>
  <r>
    <n v="1049"/>
    <d v="2023-10-30T00:00:00"/>
    <x v="4"/>
    <s v="East"/>
    <n v="2947.56"/>
    <n v="38"/>
    <s v="Food"/>
    <n v="4243.9799999999996"/>
    <n v="4474.5099999999902"/>
    <x v="1"/>
    <n v="0.01"/>
    <s v="Credit Card"/>
    <x v="0"/>
    <s v="East-Alice"/>
    <n v="0.01"/>
    <n v="2918.0843999999997"/>
  </r>
  <r>
    <n v="1017"/>
    <d v="2023-07-16T00:00:00"/>
    <x v="4"/>
    <s v="South"/>
    <n v="3137.09"/>
    <n v="18"/>
    <s v="Furniture"/>
    <n v="1069.73"/>
    <n v="1180.04"/>
    <x v="0"/>
    <n v="0.22"/>
    <s v="Bank Transfer"/>
    <x v="0"/>
    <s v="South-Alice"/>
    <n v="0.22"/>
    <n v="2446.9302000000002"/>
  </r>
  <r>
    <n v="1044"/>
    <d v="2023-01-11T00:00:00"/>
    <x v="3"/>
    <s v="North"/>
    <n v="3594.29"/>
    <n v="5"/>
    <s v="Food"/>
    <n v="4762.87"/>
    <n v="5050.46"/>
    <x v="1"/>
    <n v="0.25"/>
    <s v="Cash"/>
    <x v="1"/>
    <s v="North-Eve"/>
    <n v="0.25"/>
    <n v="2695.7174999999997"/>
  </r>
  <r>
    <n v="1092"/>
    <d v="2023-08-22T00:00:00"/>
    <x v="1"/>
    <s v="East"/>
    <n v="6250.8"/>
    <n v="29"/>
    <s v="Clothing"/>
    <n v="1742.24"/>
    <n v="2070.52"/>
    <x v="1"/>
    <n v="0.12"/>
    <s v="Cash"/>
    <x v="0"/>
    <s v="East-David"/>
    <n v="0.12"/>
    <n v="5500.7040000000006"/>
  </r>
  <r>
    <n v="1030"/>
    <d v="2023-07-14T00:00:00"/>
    <x v="0"/>
    <s v="East"/>
    <n v="3407.09"/>
    <n v="39"/>
    <s v="Clothing"/>
    <n v="4929.7299999999996"/>
    <n v="5088.0199999999904"/>
    <x v="1"/>
    <n v="0.23"/>
    <s v="Bank Transfer"/>
    <x v="1"/>
    <s v="East-Bob"/>
    <n v="0.23"/>
    <n v="2623.4593"/>
  </r>
  <r>
    <n v="1093"/>
    <d v="2023-04-29T00:00:00"/>
    <x v="4"/>
    <s v="North"/>
    <n v="7353.72"/>
    <n v="34"/>
    <s v="Food"/>
    <n v="4201.1099999999997"/>
    <n v="4436.5"/>
    <x v="1"/>
    <n v="0.05"/>
    <s v="Cash"/>
    <x v="0"/>
    <s v="North-Alice"/>
    <n v="0.05"/>
    <n v="6986.0339999999997"/>
  </r>
  <r>
    <n v="1046"/>
    <d v="2023-01-20T00:00:00"/>
    <x v="3"/>
    <s v="East"/>
    <n v="4104.82"/>
    <n v="43"/>
    <s v="Clothing"/>
    <n v="4052.42"/>
    <n v="4199.3"/>
    <x v="1"/>
    <n v="0.1"/>
    <s v="Bank Transfer"/>
    <x v="1"/>
    <s v="East-Eve"/>
    <n v="0.1"/>
    <n v="3694.3379999999997"/>
  </r>
  <r>
    <n v="1006"/>
    <d v="2023-09-18T00:00:00"/>
    <x v="1"/>
    <s v="West"/>
    <n v="776.7"/>
    <n v="45"/>
    <s v="Furniture"/>
    <n v="1623.63"/>
    <n v="1814.63"/>
    <x v="1"/>
    <n v="0.28999999999999998"/>
    <s v="Bank Transfer"/>
    <x v="1"/>
    <s v="West-David"/>
    <n v="0.28999999999999998"/>
    <n v="551.45699999999999"/>
  </r>
  <r>
    <n v="1099"/>
    <d v="2023-10-20T00:00:00"/>
    <x v="1"/>
    <s v="South"/>
    <n v="7859.22"/>
    <n v="23"/>
    <s v="Clothing"/>
    <n v="93.45"/>
    <n v="181.62"/>
    <x v="0"/>
    <n v="0.3"/>
    <s v="Bank Transfer"/>
    <x v="1"/>
    <s v="South-David"/>
    <n v="0.3"/>
    <n v="5501.4539999999997"/>
  </r>
  <r>
    <n v="1037"/>
    <d v="2023-09-13T00:00:00"/>
    <x v="0"/>
    <s v="South"/>
    <n v="2929.01"/>
    <n v="5"/>
    <s v="Furniture"/>
    <n v="1941.56"/>
    <n v="2385.48"/>
    <x v="0"/>
    <n v="0.15"/>
    <s v="Credit Card"/>
    <x v="0"/>
    <s v="South-Bob"/>
    <n v="0.15"/>
    <n v="2489.6585"/>
  </r>
  <r>
    <n v="1024"/>
    <d v="2023-08-10T00:00:00"/>
    <x v="3"/>
    <s v="South"/>
    <n v="4384.3900000000003"/>
    <n v="30"/>
    <s v="Food"/>
    <n v="1543.96"/>
    <n v="1558.87"/>
    <x v="0"/>
    <n v="0.28000000000000003"/>
    <s v="Credit Card"/>
    <x v="0"/>
    <s v="South-Eve"/>
    <n v="0.28000000000000003"/>
    <n v="3156.7608"/>
  </r>
  <r>
    <n v="1093"/>
    <d v="2023-08-14T00:00:00"/>
    <x v="1"/>
    <s v="West"/>
    <n v="6885.89"/>
    <n v="6"/>
    <s v="Food"/>
    <n v="235.12"/>
    <n v="677.5"/>
    <x v="0"/>
    <n v="0.16"/>
    <s v="Credit Card"/>
    <x v="0"/>
    <s v="West-David"/>
    <n v="0.16"/>
    <n v="5784.1476000000002"/>
  </r>
  <r>
    <n v="1046"/>
    <d v="2023-02-22T00:00:00"/>
    <x v="4"/>
    <s v="South"/>
    <n v="3391.32"/>
    <n v="46"/>
    <s v="Clothing"/>
    <n v="2551.56"/>
    <n v="2841.68"/>
    <x v="1"/>
    <n v="0.09"/>
    <s v="Bank Transfer"/>
    <x v="1"/>
    <s v="South-Alice"/>
    <n v="0.09"/>
    <n v="3086.1012000000001"/>
  </r>
  <r>
    <n v="1053"/>
    <d v="2023-12-21T00:00:00"/>
    <x v="0"/>
    <s v="North"/>
    <n v="660.2"/>
    <n v="44"/>
    <s v="Furniture"/>
    <n v="2045"/>
    <n v="2217.5100000000002"/>
    <x v="0"/>
    <n v="0.08"/>
    <s v="Credit Card"/>
    <x v="0"/>
    <s v="North-Bob"/>
    <n v="0.08"/>
    <n v="607.38400000000001"/>
  </r>
  <r>
    <n v="1095"/>
    <d v="2023-12-08T00:00:00"/>
    <x v="3"/>
    <s v="East"/>
    <n v="3801.82"/>
    <n v="4"/>
    <s v="Clothing"/>
    <n v="3191.05"/>
    <n v="3555.35"/>
    <x v="1"/>
    <n v="0.28000000000000003"/>
    <s v="Credit Card"/>
    <x v="0"/>
    <s v="East-Eve"/>
    <n v="0.28000000000000003"/>
    <n v="2737.3103999999998"/>
  </r>
  <r>
    <n v="1099"/>
    <d v="2023-12-30T00:00:00"/>
    <x v="0"/>
    <s v="West"/>
    <n v="9450.0400000000009"/>
    <n v="29"/>
    <s v="Electronics"/>
    <n v="3124.87"/>
    <n v="3383.67"/>
    <x v="1"/>
    <n v="0.05"/>
    <s v="Credit Card"/>
    <x v="1"/>
    <s v="West-Bob"/>
    <n v="0.05"/>
    <n v="8977.5380000000005"/>
  </r>
  <r>
    <n v="1060"/>
    <d v="2023-10-07T00:00:00"/>
    <x v="4"/>
    <s v="South"/>
    <n v="6453.17"/>
    <n v="23"/>
    <s v="Electronics"/>
    <n v="647.70000000000005"/>
    <n v="902.26"/>
    <x v="1"/>
    <n v="0.17"/>
    <s v="Bank Transfer"/>
    <x v="0"/>
    <s v="South-Alice"/>
    <n v="0.17"/>
    <n v="5356.1310999999996"/>
  </r>
  <r>
    <n v="1097"/>
    <d v="2023-03-22T00:00:00"/>
    <x v="3"/>
    <s v="North"/>
    <n v="6747.64"/>
    <n v="6"/>
    <s v="Electronics"/>
    <n v="4885.9799999999996"/>
    <n v="4949.95"/>
    <x v="0"/>
    <n v="0.17"/>
    <s v="Bank Transfer"/>
    <x v="0"/>
    <s v="North-Eve"/>
    <n v="0.17"/>
    <n v="5600.5411999999997"/>
  </r>
  <r>
    <n v="1063"/>
    <d v="2023-07-21T00:00:00"/>
    <x v="0"/>
    <s v="East"/>
    <n v="6359.59"/>
    <n v="32"/>
    <s v="Electronics"/>
    <n v="975.31"/>
    <n v="1176.17"/>
    <x v="1"/>
    <n v="0.22"/>
    <s v="Bank Transfer"/>
    <x v="1"/>
    <s v="East-Bob"/>
    <n v="0.22"/>
    <n v="4960.4802"/>
  </r>
  <r>
    <n v="1085"/>
    <d v="2023-06-07T00:00:00"/>
    <x v="2"/>
    <s v="East"/>
    <n v="2070.02"/>
    <n v="42"/>
    <s v="Clothing"/>
    <n v="2254.11"/>
    <n v="2382.23"/>
    <x v="0"/>
    <n v="0.15"/>
    <s v="Credit Card"/>
    <x v="1"/>
    <s v="East-Charlie"/>
    <n v="0.15"/>
    <n v="1759.5169999999998"/>
  </r>
  <r>
    <n v="1032"/>
    <d v="2023-04-30T00:00:00"/>
    <x v="4"/>
    <s v="West"/>
    <n v="4241.51"/>
    <n v="18"/>
    <s v="Electronics"/>
    <n v="2466.1799999999998"/>
    <n v="2483.87"/>
    <x v="0"/>
    <n v="0.08"/>
    <s v="Cash"/>
    <x v="0"/>
    <s v="West-Alice"/>
    <n v="0.08"/>
    <n v="3902.1892000000003"/>
  </r>
  <r>
    <n v="1087"/>
    <d v="2023-02-28T00:00:00"/>
    <x v="4"/>
    <s v="West"/>
    <n v="7534.3"/>
    <n v="15"/>
    <s v="Furniture"/>
    <n v="4074.66"/>
    <n v="4261.1099999999997"/>
    <x v="0"/>
    <n v="0.05"/>
    <s v="Credit Card"/>
    <x v="1"/>
    <s v="West-Alice"/>
    <n v="0.05"/>
    <n v="7157.585"/>
  </r>
  <r>
    <n v="1033"/>
    <d v="2023-08-03T00:00:00"/>
    <x v="4"/>
    <s v="West"/>
    <n v="1103.5899999999999"/>
    <n v="40"/>
    <s v="Food"/>
    <n v="541.19000000000005"/>
    <n v="595.20000000000005"/>
    <x v="0"/>
    <n v="0.19"/>
    <s v="Credit Card"/>
    <x v="0"/>
    <s v="West-Alice"/>
    <n v="0.19"/>
    <n v="893.90790000000004"/>
  </r>
  <r>
    <n v="1067"/>
    <d v="2023-05-08T00:00:00"/>
    <x v="2"/>
    <s v="North"/>
    <n v="2850.74"/>
    <n v="32"/>
    <s v="Food"/>
    <n v="2171.79"/>
    <n v="2307.64"/>
    <x v="0"/>
    <n v="0.22"/>
    <s v="Bank Transfer"/>
    <x v="0"/>
    <s v="North-Charlie"/>
    <n v="0.22"/>
    <n v="2223.5771999999997"/>
  </r>
  <r>
    <n v="1018"/>
    <d v="2023-08-12T00:00:00"/>
    <x v="2"/>
    <s v="North"/>
    <n v="2835.56"/>
    <n v="9"/>
    <s v="Electronics"/>
    <n v="3161.09"/>
    <n v="3216.42"/>
    <x v="1"/>
    <n v="0.17"/>
    <s v="Bank Transfer"/>
    <x v="0"/>
    <s v="North-Charlie"/>
    <n v="0.17"/>
    <n v="2353.5147999999999"/>
  </r>
  <r>
    <n v="1025"/>
    <d v="2023-07-28T00:00:00"/>
    <x v="1"/>
    <s v="West"/>
    <n v="4376.99"/>
    <n v="37"/>
    <s v="Electronics"/>
    <n v="1115.02"/>
    <n v="1174.48"/>
    <x v="1"/>
    <n v="0.22"/>
    <s v="Credit Card"/>
    <x v="0"/>
    <s v="West-David"/>
    <n v="0.22"/>
    <n v="3414.0522000000001"/>
  </r>
  <r>
    <n v="1095"/>
    <d v="2023-04-25T00:00:00"/>
    <x v="0"/>
    <s v="South"/>
    <n v="9805.65"/>
    <n v="10"/>
    <s v="Electronics"/>
    <n v="3155.97"/>
    <n v="3263.49"/>
    <x v="0"/>
    <n v="0.04"/>
    <s v="Credit Card"/>
    <x v="0"/>
    <s v="South-Bob"/>
    <n v="0.04"/>
    <n v="9413.4239999999991"/>
  </r>
  <r>
    <n v="1054"/>
    <d v="2023-07-28T00:00:00"/>
    <x v="1"/>
    <s v="East"/>
    <n v="768.28"/>
    <n v="20"/>
    <s v="Clothing"/>
    <n v="4622.1400000000003"/>
    <n v="5122.07"/>
    <x v="1"/>
    <n v="0.26"/>
    <s v="Cash"/>
    <x v="1"/>
    <s v="East-David"/>
    <n v="0.26"/>
    <n v="568.52719999999999"/>
  </r>
  <r>
    <n v="1058"/>
    <d v="2023-01-14T00:00:00"/>
    <x v="0"/>
    <s v="East"/>
    <n v="5235.1400000000003"/>
    <n v="6"/>
    <s v="Food"/>
    <n v="4987.71"/>
    <n v="4998.78"/>
    <x v="0"/>
    <n v="0.17"/>
    <s v="Cash"/>
    <x v="1"/>
    <s v="East-Bob"/>
    <n v="0.17"/>
    <n v="4345.1661999999997"/>
  </r>
  <r>
    <n v="1067"/>
    <d v="2023-01-09T00:00:00"/>
    <x v="2"/>
    <s v="North"/>
    <n v="1875.71"/>
    <n v="48"/>
    <s v="Electronics"/>
    <n v="210.63"/>
    <n v="533.57999999999902"/>
    <x v="1"/>
    <n v="0.04"/>
    <s v="Bank Transfer"/>
    <x v="0"/>
    <s v="North-Charlie"/>
    <n v="0.04"/>
    <n v="1800.6815999999999"/>
  </r>
  <r>
    <n v="1046"/>
    <d v="2023-02-09T00:00:00"/>
    <x v="2"/>
    <s v="East"/>
    <n v="9709.7000000000007"/>
    <n v="3"/>
    <s v="Furniture"/>
    <n v="1216.1600000000001"/>
    <n v="1295.3699999999999"/>
    <x v="1"/>
    <n v="0.14000000000000001"/>
    <s v="Cash"/>
    <x v="1"/>
    <s v="East-Charlie"/>
    <n v="0.14000000000000001"/>
    <n v="8350.3420000000006"/>
  </r>
  <r>
    <n v="1024"/>
    <d v="2023-08-25T00:00:00"/>
    <x v="1"/>
    <s v="South"/>
    <n v="1221.7"/>
    <n v="42"/>
    <s v="Electronics"/>
    <n v="1586.02"/>
    <n v="2047.13"/>
    <x v="1"/>
    <n v="0.25"/>
    <s v="Cash"/>
    <x v="1"/>
    <s v="South-David"/>
    <n v="0.25"/>
    <n v="916.27500000000009"/>
  </r>
  <r>
    <n v="1032"/>
    <d v="2023-10-08T00:00:00"/>
    <x v="3"/>
    <s v="East"/>
    <n v="4095.65"/>
    <n v="11"/>
    <s v="Food"/>
    <n v="2025.67"/>
    <n v="2081.5500000000002"/>
    <x v="1"/>
    <n v="0.27"/>
    <s v="Bank Transfer"/>
    <x v="0"/>
    <s v="East-Eve"/>
    <n v="0.27"/>
    <n v="2989.8245000000002"/>
  </r>
  <r>
    <n v="1047"/>
    <d v="2023-12-25T00:00:00"/>
    <x v="1"/>
    <s v="North"/>
    <n v="7405.06"/>
    <n v="43"/>
    <s v="Electronics"/>
    <n v="1249.17"/>
    <n v="1727.15"/>
    <x v="1"/>
    <n v="0.08"/>
    <s v="Cash"/>
    <x v="1"/>
    <s v="North-David"/>
    <n v="0.08"/>
    <n v="6812.6552000000011"/>
  </r>
  <r>
    <n v="1086"/>
    <d v="2023-07-20T00:00:00"/>
    <x v="0"/>
    <s v="North"/>
    <n v="7075.09"/>
    <n v="17"/>
    <s v="Food"/>
    <n v="1057.27"/>
    <n v="1366.62"/>
    <x v="1"/>
    <n v="0.21"/>
    <s v="Credit Card"/>
    <x v="1"/>
    <s v="North-Bob"/>
    <n v="0.21"/>
    <n v="5589.3211000000001"/>
  </r>
  <r>
    <n v="1023"/>
    <d v="2023-09-03T00:00:00"/>
    <x v="1"/>
    <s v="South"/>
    <n v="4285.01"/>
    <n v="32"/>
    <s v="Electronics"/>
    <n v="4775.04"/>
    <n v="4785.66"/>
    <x v="1"/>
    <n v="0.03"/>
    <s v="Cash"/>
    <x v="0"/>
    <s v="South-David"/>
    <n v="0.03"/>
    <n v="4156.4597000000003"/>
  </r>
  <r>
    <n v="1066"/>
    <d v="2023-10-05T00:00:00"/>
    <x v="4"/>
    <s v="South"/>
    <n v="3530.59"/>
    <n v="4"/>
    <s v="Furniture"/>
    <n v="4596.68"/>
    <n v="5044.74"/>
    <x v="1"/>
    <n v="0.01"/>
    <s v="Bank Transfer"/>
    <x v="0"/>
    <s v="South-Alice"/>
    <n v="0.01"/>
    <n v="3495.2841000000003"/>
  </r>
  <r>
    <n v="1027"/>
    <d v="2023-08-23T00:00:00"/>
    <x v="0"/>
    <s v="East"/>
    <n v="4036.36"/>
    <n v="4"/>
    <s v="Electronics"/>
    <n v="282.61"/>
    <n v="548.25"/>
    <x v="1"/>
    <n v="0.17"/>
    <s v="Credit Card"/>
    <x v="0"/>
    <s v="East-Bob"/>
    <n v="0.17"/>
    <n v="3350.1788000000001"/>
  </r>
  <r>
    <n v="1002"/>
    <d v="2023-01-04T00:00:00"/>
    <x v="0"/>
    <s v="East"/>
    <n v="2716.34"/>
    <n v="17"/>
    <s v="Furniture"/>
    <n v="1727.12"/>
    <n v="1865.83"/>
    <x v="1"/>
    <n v="0.21"/>
    <s v="Cash"/>
    <x v="0"/>
    <s v="East-Bob"/>
    <n v="0.21"/>
    <n v="2145.9086000000002"/>
  </r>
  <r>
    <n v="1090"/>
    <d v="2023-06-03T00:00:00"/>
    <x v="3"/>
    <s v="North"/>
    <n v="2132.8000000000002"/>
    <n v="41"/>
    <s v="Furniture"/>
    <n v="2055.4899999999998"/>
    <n v="2441.46"/>
    <x v="1"/>
    <n v="0.24"/>
    <s v="Credit Card"/>
    <x v="0"/>
    <s v="North-Eve"/>
    <n v="0.24"/>
    <n v="1620.9280000000001"/>
  </r>
  <r>
    <n v="1017"/>
    <d v="2023-01-29T00:00:00"/>
    <x v="2"/>
    <s v="South"/>
    <n v="4882.09"/>
    <n v="19"/>
    <s v="Electronics"/>
    <n v="1233.1199999999999"/>
    <n v="1697.1899999999901"/>
    <x v="1"/>
    <n v="0.1"/>
    <s v="Credit Card"/>
    <x v="0"/>
    <s v="South-Charlie"/>
    <n v="0.1"/>
    <n v="4393.8810000000003"/>
  </r>
  <r>
    <n v="1033"/>
    <d v="2023-04-19T00:00:00"/>
    <x v="0"/>
    <s v="South"/>
    <n v="2758.48"/>
    <n v="5"/>
    <s v="Furniture"/>
    <n v="3162.92"/>
    <n v="3409.93"/>
    <x v="1"/>
    <n v="0"/>
    <s v="Cash"/>
    <x v="0"/>
    <s v="South-Bob"/>
    <n v="0"/>
    <n v="2758.48"/>
  </r>
  <r>
    <n v="1009"/>
    <d v="2023-04-08T00:00:00"/>
    <x v="2"/>
    <s v="South"/>
    <n v="2945.87"/>
    <n v="32"/>
    <s v="Clothing"/>
    <n v="3219.88"/>
    <n v="3384.5"/>
    <x v="0"/>
    <n v="0.14000000000000001"/>
    <s v="Cash"/>
    <x v="1"/>
    <s v="South-Charlie"/>
    <n v="0.14000000000000001"/>
    <n v="2533.4481999999998"/>
  </r>
  <r>
    <n v="1043"/>
    <d v="2023-08-03T00:00:00"/>
    <x v="1"/>
    <s v="East"/>
    <n v="6601.89"/>
    <n v="22"/>
    <s v="Electronics"/>
    <n v="4260"/>
    <n v="4656.58"/>
    <x v="1"/>
    <n v="0"/>
    <s v="Bank Transfer"/>
    <x v="0"/>
    <s v="East-David"/>
    <n v="0"/>
    <n v="6601.89"/>
  </r>
  <r>
    <n v="1048"/>
    <d v="2023-10-20T00:00:00"/>
    <x v="4"/>
    <s v="South"/>
    <n v="9688.52"/>
    <n v="6"/>
    <s v="Electronics"/>
    <n v="3717.3"/>
    <n v="4061.37"/>
    <x v="1"/>
    <n v="0.03"/>
    <s v="Bank Transfer"/>
    <x v="1"/>
    <s v="South-Alice"/>
    <n v="0.03"/>
    <n v="9397.8644000000004"/>
  </r>
  <r>
    <n v="1039"/>
    <d v="2023-03-16T00:00:00"/>
    <x v="3"/>
    <s v="North"/>
    <n v="6076.01"/>
    <n v="35"/>
    <s v="Furniture"/>
    <n v="2735.74"/>
    <n v="3181.22999999999"/>
    <x v="1"/>
    <n v="0.1"/>
    <s v="Credit Card"/>
    <x v="1"/>
    <s v="North-Eve"/>
    <n v="0.1"/>
    <n v="5468.4090000000006"/>
  </r>
  <r>
    <n v="1093"/>
    <d v="2023-11-22T00:00:00"/>
    <x v="2"/>
    <s v="North"/>
    <n v="862.1"/>
    <n v="22"/>
    <s v="Furniture"/>
    <n v="3285.25"/>
    <n v="3634.58"/>
    <x v="1"/>
    <n v="0.13"/>
    <s v="Bank Transfer"/>
    <x v="0"/>
    <s v="North-Charlie"/>
    <n v="0.13"/>
    <n v="750.02700000000004"/>
  </r>
  <r>
    <n v="1042"/>
    <d v="2023-05-26T00:00:00"/>
    <x v="0"/>
    <s v="East"/>
    <n v="848.28"/>
    <n v="1"/>
    <s v="Electronics"/>
    <n v="1406.24"/>
    <n v="1535.57"/>
    <x v="1"/>
    <n v="0.08"/>
    <s v="Credit Card"/>
    <x v="1"/>
    <s v="East-Bob"/>
    <n v="0.08"/>
    <n v="780.41759999999999"/>
  </r>
  <r>
    <n v="1026"/>
    <d v="2023-05-08T00:00:00"/>
    <x v="2"/>
    <s v="West"/>
    <n v="9519.09"/>
    <n v="20"/>
    <s v="Clothing"/>
    <n v="2985.63"/>
    <n v="3452.14"/>
    <x v="1"/>
    <n v="0.17"/>
    <s v="Credit Card"/>
    <x v="1"/>
    <s v="West-Charlie"/>
    <n v="0.17"/>
    <n v="7900.8446999999996"/>
  </r>
  <r>
    <n v="1099"/>
    <d v="2023-12-07T00:00:00"/>
    <x v="0"/>
    <s v="East"/>
    <n v="3043.18"/>
    <n v="22"/>
    <s v="Furniture"/>
    <n v="2471.67"/>
    <n v="2533.04"/>
    <x v="0"/>
    <n v="0.02"/>
    <s v="Bank Transfer"/>
    <x v="1"/>
    <s v="East-Bob"/>
    <n v="0.02"/>
    <n v="2982.3163999999997"/>
  </r>
  <r>
    <n v="1050"/>
    <d v="2023-02-11T00:00:00"/>
    <x v="2"/>
    <s v="West"/>
    <n v="1011.46"/>
    <n v="48"/>
    <s v="Furniture"/>
    <n v="710.06"/>
    <n v="851.349999999999"/>
    <x v="0"/>
    <n v="0.04"/>
    <s v="Bank Transfer"/>
    <x v="0"/>
    <s v="West-Charlie"/>
    <n v="0.04"/>
    <n v="971.00160000000005"/>
  </r>
  <r>
    <n v="1025"/>
    <d v="2023-12-22T00:00:00"/>
    <x v="0"/>
    <s v="South"/>
    <n v="6030.54"/>
    <n v="11"/>
    <s v="Food"/>
    <n v="1250.5899999999999"/>
    <n v="1515.48999999999"/>
    <x v="0"/>
    <n v="0.21"/>
    <s v="Bank Transfer"/>
    <x v="1"/>
    <s v="South-Bob"/>
    <n v="0.21"/>
    <n v="4764.1266000000005"/>
  </r>
  <r>
    <n v="1024"/>
    <d v="2023-02-10T00:00:00"/>
    <x v="1"/>
    <s v="East"/>
    <n v="6274.12"/>
    <n v="13"/>
    <s v="Clothing"/>
    <n v="1493.88"/>
    <n v="1781.09"/>
    <x v="1"/>
    <n v="0.04"/>
    <s v="Cash"/>
    <x v="1"/>
    <s v="East-David"/>
    <n v="0.04"/>
    <n v="6023.1551999999992"/>
  </r>
  <r>
    <n v="1013"/>
    <d v="2023-02-03T00:00:00"/>
    <x v="0"/>
    <s v="North"/>
    <n v="6520.2"/>
    <n v="42"/>
    <s v="Clothing"/>
    <n v="4625.33"/>
    <n v="4642.83"/>
    <x v="1"/>
    <n v="0.19"/>
    <s v="Credit Card"/>
    <x v="0"/>
    <s v="North-Bob"/>
    <n v="0.19"/>
    <n v="5281.3620000000001"/>
  </r>
  <r>
    <n v="1060"/>
    <d v="2023-01-17T00:00:00"/>
    <x v="0"/>
    <s v="South"/>
    <n v="2747.28"/>
    <n v="3"/>
    <s v="Electronics"/>
    <n v="1190.4100000000001"/>
    <n v="1582.89"/>
    <x v="1"/>
    <n v="0.02"/>
    <s v="Credit Card"/>
    <x v="1"/>
    <s v="South-Bob"/>
    <n v="0.02"/>
    <n v="2692.3344000000002"/>
  </r>
  <r>
    <n v="1007"/>
    <d v="2023-06-14T00:00:00"/>
    <x v="4"/>
    <s v="North"/>
    <n v="249.6"/>
    <n v="9"/>
    <s v="Clothing"/>
    <n v="1481.76"/>
    <n v="1668.95"/>
    <x v="0"/>
    <n v="0.12"/>
    <s v="Credit Card"/>
    <x v="1"/>
    <s v="North-Alice"/>
    <n v="0.12"/>
    <n v="219.648"/>
  </r>
  <r>
    <n v="1057"/>
    <d v="2023-06-02T00:00:00"/>
    <x v="0"/>
    <s v="South"/>
    <n v="9653.65"/>
    <n v="12"/>
    <s v="Electronics"/>
    <n v="1878.3"/>
    <n v="2087.4499999999998"/>
    <x v="1"/>
    <n v="0.05"/>
    <s v="Bank Transfer"/>
    <x v="1"/>
    <s v="South-Bob"/>
    <n v="0.05"/>
    <n v="9170.9674999999988"/>
  </r>
  <r>
    <n v="1036"/>
    <d v="2023-03-17T00:00:00"/>
    <x v="4"/>
    <s v="East"/>
    <n v="2583.84"/>
    <n v="23"/>
    <s v="Food"/>
    <n v="3335.53"/>
    <n v="3742.12"/>
    <x v="1"/>
    <n v="0.03"/>
    <s v="Bank Transfer"/>
    <x v="1"/>
    <s v="East-Alice"/>
    <n v="0.03"/>
    <n v="2506.3247999999999"/>
  </r>
  <r>
    <n v="1045"/>
    <d v="2023-03-28T00:00:00"/>
    <x v="3"/>
    <s v="West"/>
    <n v="6792.66"/>
    <n v="14"/>
    <s v="Clothing"/>
    <n v="635.28"/>
    <n v="831.13"/>
    <x v="0"/>
    <n v="0.17"/>
    <s v="Bank Transfer"/>
    <x v="1"/>
    <s v="West-Eve"/>
    <n v="0.17"/>
    <n v="5637.9078"/>
  </r>
  <r>
    <n v="1020"/>
    <d v="2023-04-27T00:00:00"/>
    <x v="4"/>
    <s v="South"/>
    <n v="7095.64"/>
    <n v="33"/>
    <s v="Furniture"/>
    <n v="4772.03"/>
    <n v="4805.17"/>
    <x v="0"/>
    <n v="0.28000000000000003"/>
    <s v="Bank Transfer"/>
    <x v="0"/>
    <s v="South-Alice"/>
    <n v="0.28000000000000003"/>
    <n v="5108.8608000000004"/>
  </r>
  <r>
    <n v="1065"/>
    <d v="2023-12-28T00:00:00"/>
    <x v="1"/>
    <s v="West"/>
    <n v="6139.07"/>
    <n v="18"/>
    <s v="Food"/>
    <n v="4334.58"/>
    <n v="4431.04"/>
    <x v="1"/>
    <n v="0.02"/>
    <s v="Bank Transfer"/>
    <x v="1"/>
    <s v="West-David"/>
    <n v="0.02"/>
    <n v="6016.2885999999999"/>
  </r>
  <r>
    <n v="1008"/>
    <d v="2023-12-08T00:00:00"/>
    <x v="4"/>
    <s v="South"/>
    <n v="3197.78"/>
    <n v="49"/>
    <s v="Electronics"/>
    <n v="2907.22"/>
    <n v="3385.6099999999901"/>
    <x v="1"/>
    <n v="0.13"/>
    <s v="Cash"/>
    <x v="0"/>
    <s v="South-Alice"/>
    <n v="0.13"/>
    <n v="2782.0686000000001"/>
  </r>
  <r>
    <n v="1016"/>
    <d v="2023-01-27T00:00:00"/>
    <x v="3"/>
    <s v="North"/>
    <n v="2783.85"/>
    <n v="41"/>
    <s v="Food"/>
    <n v="3386.49"/>
    <n v="3430.99"/>
    <x v="1"/>
    <n v="0.21"/>
    <s v="Bank Transfer"/>
    <x v="1"/>
    <s v="North-Eve"/>
    <n v="0.21"/>
    <n v="2199.2415000000001"/>
  </r>
  <r>
    <n v="1014"/>
    <d v="2023-11-09T00:00:00"/>
    <x v="1"/>
    <s v="North"/>
    <n v="6016.92"/>
    <n v="9"/>
    <s v="Electronics"/>
    <n v="132.47"/>
    <n v="316.39"/>
    <x v="1"/>
    <n v="0.14000000000000001"/>
    <s v="Credit Card"/>
    <x v="0"/>
    <s v="North-David"/>
    <n v="0.14000000000000001"/>
    <n v="5174.5511999999999"/>
  </r>
  <r>
    <n v="1076"/>
    <d v="2023-10-14T00:00:00"/>
    <x v="2"/>
    <s v="South"/>
    <n v="8674.35"/>
    <n v="23"/>
    <s v="Food"/>
    <n v="1727.78"/>
    <n v="1984.34"/>
    <x v="0"/>
    <n v="0.24"/>
    <s v="Bank Transfer"/>
    <x v="0"/>
    <s v="South-Charlie"/>
    <n v="0.24"/>
    <n v="6592.5060000000003"/>
  </r>
  <r>
    <n v="1087"/>
    <d v="2023-05-14T00:00:00"/>
    <x v="2"/>
    <s v="West"/>
    <n v="9472.66"/>
    <n v="10"/>
    <s v="Electronics"/>
    <n v="3988.52"/>
    <n v="4240.2299999999996"/>
    <x v="1"/>
    <n v="0.05"/>
    <s v="Credit Card"/>
    <x v="0"/>
    <s v="West-Charlie"/>
    <n v="0.05"/>
    <n v="8999.027"/>
  </r>
  <r>
    <n v="1015"/>
    <d v="2023-08-07T00:00:00"/>
    <x v="4"/>
    <s v="East"/>
    <n v="1148.47"/>
    <n v="19"/>
    <s v="Clothing"/>
    <n v="433.54"/>
    <n v="445.48"/>
    <x v="1"/>
    <n v="0.28999999999999998"/>
    <s v="Bank Transfer"/>
    <x v="1"/>
    <s v="East-Alice"/>
    <n v="0.28999999999999998"/>
    <n v="815.41369999999995"/>
  </r>
  <r>
    <n v="1092"/>
    <d v="2023-06-17T00:00:00"/>
    <x v="4"/>
    <s v="East"/>
    <n v="1632.8"/>
    <n v="47"/>
    <s v="Furniture"/>
    <n v="1447.45"/>
    <n v="1703.02"/>
    <x v="0"/>
    <n v="0.12"/>
    <s v="Bank Transfer"/>
    <x v="1"/>
    <s v="East-Alice"/>
    <n v="0.12"/>
    <n v="1436.864"/>
  </r>
  <r>
    <n v="1098"/>
    <d v="2023-04-08T00:00:00"/>
    <x v="3"/>
    <s v="North"/>
    <n v="9452.89"/>
    <n v="5"/>
    <s v="Electronics"/>
    <n v="2947.22"/>
    <n v="3145.27"/>
    <x v="1"/>
    <n v="0.1"/>
    <s v="Credit Card"/>
    <x v="1"/>
    <s v="North-Eve"/>
    <n v="0.1"/>
    <n v="8507.6010000000006"/>
  </r>
  <r>
    <n v="1066"/>
    <d v="2023-09-25T00:00:00"/>
    <x v="3"/>
    <s v="East"/>
    <n v="7391.7"/>
    <n v="47"/>
    <s v="Food"/>
    <n v="1319.24"/>
    <n v="1805.56"/>
    <x v="1"/>
    <n v="0.26"/>
    <s v="Credit Card"/>
    <x v="1"/>
    <s v="East-Eve"/>
    <n v="0.26"/>
    <n v="5469.8580000000002"/>
  </r>
  <r>
    <n v="1032"/>
    <d v="2023-08-25T00:00:00"/>
    <x v="0"/>
    <s v="North"/>
    <n v="8841.64"/>
    <n v="23"/>
    <s v="Electronics"/>
    <n v="4673.1899999999996"/>
    <n v="4761.1799999999903"/>
    <x v="0"/>
    <n v="0.17"/>
    <s v="Credit Card"/>
    <x v="1"/>
    <s v="North-Bob"/>
    <n v="0.17"/>
    <n v="7338.5611999999992"/>
  </r>
  <r>
    <n v="1087"/>
    <d v="2023-11-05T00:00:00"/>
    <x v="3"/>
    <s v="East"/>
    <n v="2106.06"/>
    <n v="30"/>
    <s v="Electronics"/>
    <n v="698.74"/>
    <n v="882.28"/>
    <x v="0"/>
    <n v="0.15"/>
    <s v="Credit Card"/>
    <x v="0"/>
    <s v="East-Eve"/>
    <n v="0.15"/>
    <n v="1790.1509999999998"/>
  </r>
  <r>
    <n v="1063"/>
    <d v="2023-06-22T00:00:00"/>
    <x v="0"/>
    <s v="South"/>
    <n v="5917.1"/>
    <n v="25"/>
    <s v="Electronics"/>
    <n v="3997.1"/>
    <n v="4212.6499999999996"/>
    <x v="1"/>
    <n v="0.22"/>
    <s v="Cash"/>
    <x v="0"/>
    <s v="South-Bob"/>
    <n v="0.22"/>
    <n v="4615.3380000000006"/>
  </r>
  <r>
    <n v="1086"/>
    <d v="2023-07-09T00:00:00"/>
    <x v="1"/>
    <s v="North"/>
    <n v="7041.28"/>
    <n v="28"/>
    <s v="Food"/>
    <n v="2564.35"/>
    <n v="2765.79"/>
    <x v="0"/>
    <n v="0.17"/>
    <s v="Credit Card"/>
    <x v="0"/>
    <s v="North-David"/>
    <n v="0.17"/>
    <n v="5844.2623999999996"/>
  </r>
  <r>
    <n v="1051"/>
    <d v="2023-05-02T00:00:00"/>
    <x v="4"/>
    <s v="North"/>
    <n v="6833.11"/>
    <n v="34"/>
    <s v="Furniture"/>
    <n v="3764.14"/>
    <n v="4100.3999999999996"/>
    <x v="0"/>
    <n v="0.05"/>
    <s v="Bank Transfer"/>
    <x v="1"/>
    <s v="North-Alice"/>
    <n v="0.05"/>
    <n v="6491.4544999999998"/>
  </r>
  <r>
    <n v="1025"/>
    <d v="2023-02-15T00:00:00"/>
    <x v="1"/>
    <s v="South"/>
    <n v="4140.7"/>
    <n v="45"/>
    <s v="Clothing"/>
    <n v="1588.04"/>
    <n v="1703.6399999999901"/>
    <x v="1"/>
    <n v="0.2"/>
    <s v="Bank Transfer"/>
    <x v="1"/>
    <s v="South-David"/>
    <n v="0.2"/>
    <n v="3312.56"/>
  </r>
  <r>
    <n v="1058"/>
    <d v="2023-03-05T00:00:00"/>
    <x v="3"/>
    <s v="North"/>
    <n v="252.41"/>
    <n v="48"/>
    <s v="Furniture"/>
    <n v="2596.7199999999998"/>
    <n v="2715.0499999999902"/>
    <x v="0"/>
    <n v="0.04"/>
    <s v="Cash"/>
    <x v="0"/>
    <s v="North-Eve"/>
    <n v="0.04"/>
    <n v="242.31359999999998"/>
  </r>
  <r>
    <n v="1063"/>
    <d v="2023-05-10T00:00:00"/>
    <x v="1"/>
    <s v="East"/>
    <n v="5870.97"/>
    <n v="47"/>
    <s v="Electronics"/>
    <n v="4291.33"/>
    <n v="4658.6400000000003"/>
    <x v="1"/>
    <n v="0.24"/>
    <s v="Credit Card"/>
    <x v="1"/>
    <s v="East-David"/>
    <n v="0.24"/>
    <n v="4461.9372000000003"/>
  </r>
  <r>
    <n v="1062"/>
    <d v="2023-11-06T00:00:00"/>
    <x v="1"/>
    <s v="East"/>
    <n v="2605.71"/>
    <n v="25"/>
    <s v="Food"/>
    <n v="2361.0500000000002"/>
    <n v="2616.19"/>
    <x v="1"/>
    <n v="0.3"/>
    <s v="Bank Transfer"/>
    <x v="1"/>
    <s v="East-David"/>
    <n v="0.3"/>
    <n v="1823.9969999999998"/>
  </r>
  <r>
    <n v="1022"/>
    <d v="2023-12-29T00:00:00"/>
    <x v="1"/>
    <s v="North"/>
    <n v="4557.5200000000004"/>
    <n v="10"/>
    <s v="Furniture"/>
    <n v="1830.61"/>
    <n v="2044.04"/>
    <x v="1"/>
    <n v="0.11"/>
    <s v="Cash"/>
    <x v="0"/>
    <s v="North-David"/>
    <n v="0.11"/>
    <n v="4056.1928000000003"/>
  </r>
  <r>
    <n v="1058"/>
    <d v="2023-07-12T00:00:00"/>
    <x v="3"/>
    <s v="East"/>
    <n v="9580.0499999999993"/>
    <n v="14"/>
    <s v="Electronics"/>
    <n v="2703.97"/>
    <n v="2796.8799999999901"/>
    <x v="1"/>
    <n v="0.13"/>
    <s v="Bank Transfer"/>
    <x v="0"/>
    <s v="East-Eve"/>
    <n v="0.13"/>
    <n v="8334.6435000000001"/>
  </r>
  <r>
    <n v="1058"/>
    <d v="2023-11-03T00:00:00"/>
    <x v="1"/>
    <s v="West"/>
    <n v="4050.45"/>
    <n v="42"/>
    <s v="Clothing"/>
    <n v="3600.95"/>
    <n v="3702.8399999999901"/>
    <x v="0"/>
    <n v="0.01"/>
    <s v="Cash"/>
    <x v="1"/>
    <s v="West-David"/>
    <n v="0.01"/>
    <n v="4009.9454999999998"/>
  </r>
  <r>
    <n v="1086"/>
    <d v="2023-06-30T00:00:00"/>
    <x v="0"/>
    <s v="North"/>
    <n v="8414.0400000000009"/>
    <n v="46"/>
    <s v="Clothing"/>
    <n v="2245.64"/>
    <n v="2260.81"/>
    <x v="1"/>
    <n v="0"/>
    <s v="Cash"/>
    <x v="1"/>
    <s v="North-Bob"/>
    <n v="0"/>
    <n v="8414.0400000000009"/>
  </r>
  <r>
    <n v="1049"/>
    <d v="2023-10-19T00:00:00"/>
    <x v="3"/>
    <s v="South"/>
    <n v="1966.55"/>
    <n v="30"/>
    <s v="Clothing"/>
    <n v="4697.4399999999996"/>
    <n v="4752.24"/>
    <x v="1"/>
    <n v="0.28000000000000003"/>
    <s v="Credit Card"/>
    <x v="0"/>
    <s v="South-Eve"/>
    <n v="0.28000000000000003"/>
    <n v="1415.9159999999999"/>
  </r>
  <r>
    <n v="1052"/>
    <d v="2023-10-09T00:00:00"/>
    <x v="1"/>
    <s v="West"/>
    <n v="6757.36"/>
    <n v="41"/>
    <s v="Electronics"/>
    <n v="1509.98"/>
    <n v="1792.83"/>
    <x v="1"/>
    <n v="0.04"/>
    <s v="Cash"/>
    <x v="1"/>
    <s v="West-David"/>
    <n v="0.04"/>
    <n v="6487.065599999999"/>
  </r>
  <r>
    <n v="1042"/>
    <d v="2023-01-29T00:00:00"/>
    <x v="3"/>
    <s v="North"/>
    <n v="9772.3700000000008"/>
    <n v="25"/>
    <s v="Food"/>
    <n v="2403.54"/>
    <n v="2850.56"/>
    <x v="1"/>
    <n v="0.13"/>
    <s v="Bank Transfer"/>
    <x v="0"/>
    <s v="North-Eve"/>
    <n v="0.13"/>
    <n v="8501.9619000000002"/>
  </r>
  <r>
    <n v="1070"/>
    <d v="2023-05-29T00:00:00"/>
    <x v="2"/>
    <s v="South"/>
    <n v="1108.74"/>
    <n v="14"/>
    <s v="Furniture"/>
    <n v="3796.79"/>
    <n v="3947.5"/>
    <x v="0"/>
    <n v="0.24"/>
    <s v="Bank Transfer"/>
    <x v="0"/>
    <s v="South-Charlie"/>
    <n v="0.24"/>
    <n v="842.64240000000007"/>
  </r>
  <r>
    <n v="1015"/>
    <d v="2023-09-24T00:00:00"/>
    <x v="0"/>
    <s v="East"/>
    <n v="182.37"/>
    <n v="35"/>
    <s v="Clothing"/>
    <n v="3461.15"/>
    <n v="3631.75"/>
    <x v="0"/>
    <n v="0.27"/>
    <s v="Credit Card"/>
    <x v="0"/>
    <s v="East-Bob"/>
    <n v="0.27"/>
    <n v="133.1301"/>
  </r>
  <r>
    <n v="1054"/>
    <d v="2023-10-23T00:00:00"/>
    <x v="1"/>
    <s v="South"/>
    <n v="4392.47"/>
    <n v="48"/>
    <s v="Electronics"/>
    <n v="4325.0200000000004"/>
    <n v="4391.67"/>
    <x v="0"/>
    <n v="0.16"/>
    <s v="Credit Card"/>
    <x v="1"/>
    <s v="South-David"/>
    <n v="0.16"/>
    <n v="3689.6748000000002"/>
  </r>
  <r>
    <n v="1060"/>
    <d v="2023-01-11T00:00:00"/>
    <x v="2"/>
    <s v="West"/>
    <n v="1016.99"/>
    <n v="34"/>
    <s v="Electronics"/>
    <n v="4984.21"/>
    <n v="5184.6400000000003"/>
    <x v="1"/>
    <n v="0.17"/>
    <s v="Cash"/>
    <x v="0"/>
    <s v="West-Charlie"/>
    <n v="0.17"/>
    <n v="844.10169999999994"/>
  </r>
  <r>
    <n v="1097"/>
    <d v="2023-06-13T00:00:00"/>
    <x v="2"/>
    <s v="East"/>
    <n v="7509.01"/>
    <n v="10"/>
    <s v="Furniture"/>
    <n v="2162.9499999999998"/>
    <n v="2191.1899999999901"/>
    <x v="0"/>
    <n v="0.2"/>
    <s v="Credit Card"/>
    <x v="0"/>
    <s v="East-Charlie"/>
    <n v="0.2"/>
    <n v="6007.2080000000005"/>
  </r>
  <r>
    <n v="1008"/>
    <d v="2023-04-23T00:00:00"/>
    <x v="3"/>
    <s v="North"/>
    <n v="9154.0300000000007"/>
    <n v="35"/>
    <s v="Clothing"/>
    <n v="600.20000000000005"/>
    <n v="1059.82"/>
    <x v="0"/>
    <n v="0.28999999999999998"/>
    <s v="Bank Transfer"/>
    <x v="1"/>
    <s v="North-Eve"/>
    <n v="0.28999999999999998"/>
    <n v="6499.3613000000005"/>
  </r>
  <r>
    <n v="1053"/>
    <d v="2023-07-06T00:00:00"/>
    <x v="2"/>
    <s v="East"/>
    <n v="4396.8100000000004"/>
    <n v="11"/>
    <s v="Electronics"/>
    <n v="200.56"/>
    <n v="540.38"/>
    <x v="1"/>
    <n v="0.18"/>
    <s v="Bank Transfer"/>
    <x v="0"/>
    <s v="East-Charlie"/>
    <n v="0.18"/>
    <n v="3605.3842000000004"/>
  </r>
  <r>
    <n v="1060"/>
    <d v="2023-10-22T00:00:00"/>
    <x v="0"/>
    <s v="North"/>
    <n v="2661.25"/>
    <n v="11"/>
    <s v="Furniture"/>
    <n v="3648.04"/>
    <n v="4143.51"/>
    <x v="0"/>
    <n v="0.17"/>
    <s v="Credit Card"/>
    <x v="1"/>
    <s v="North-Bob"/>
    <n v="0.17"/>
    <n v="2208.8375000000001"/>
  </r>
  <r>
    <n v="1005"/>
    <d v="2023-08-20T00:00:00"/>
    <x v="0"/>
    <s v="North"/>
    <n v="4400.59"/>
    <n v="21"/>
    <s v="Food"/>
    <n v="4376.37"/>
    <n v="4818.95"/>
    <x v="1"/>
    <n v="0"/>
    <s v="Credit Card"/>
    <x v="1"/>
    <s v="North-Bob"/>
    <n v="0"/>
    <n v="4400.59"/>
  </r>
  <r>
    <n v="1068"/>
    <d v="2023-08-15T00:00:00"/>
    <x v="4"/>
    <s v="South"/>
    <n v="7262.13"/>
    <n v="21"/>
    <s v="Food"/>
    <n v="1142.53"/>
    <n v="1384.3"/>
    <x v="0"/>
    <n v="0.02"/>
    <s v="Credit Card"/>
    <x v="1"/>
    <s v="South-Alice"/>
    <n v="0.02"/>
    <n v="7116.8873999999996"/>
  </r>
  <r>
    <n v="1006"/>
    <d v="2023-11-06T00:00:00"/>
    <x v="0"/>
    <s v="South"/>
    <n v="189.64"/>
    <n v="22"/>
    <s v="Food"/>
    <n v="834.32"/>
    <n v="1098.97"/>
    <x v="0"/>
    <n v="0.17"/>
    <s v="Cash"/>
    <x v="0"/>
    <s v="South-Bob"/>
    <n v="0.17"/>
    <n v="157.40119999999999"/>
  </r>
  <r>
    <n v="1096"/>
    <d v="2023-04-08T00:00:00"/>
    <x v="2"/>
    <s v="South"/>
    <n v="5935.59"/>
    <n v="45"/>
    <s v="Clothing"/>
    <n v="357.92"/>
    <n v="461.3"/>
    <x v="0"/>
    <n v="0.28000000000000003"/>
    <s v="Cash"/>
    <x v="0"/>
    <s v="South-Charlie"/>
    <n v="0.28000000000000003"/>
    <n v="4273.6247999999996"/>
  </r>
  <r>
    <n v="1094"/>
    <d v="2023-02-24T00:00:00"/>
    <x v="0"/>
    <s v="West"/>
    <n v="6171.59"/>
    <n v="7"/>
    <s v="Furniture"/>
    <n v="4122.38"/>
    <n v="4358.78"/>
    <x v="0"/>
    <n v="0.26"/>
    <s v="Bank Transfer"/>
    <x v="1"/>
    <s v="West-Bob"/>
    <n v="0.26"/>
    <n v="4566.9766"/>
  </r>
  <r>
    <n v="1047"/>
    <d v="2023-04-21T00:00:00"/>
    <x v="3"/>
    <s v="West"/>
    <n v="6413.11"/>
    <n v="17"/>
    <s v="Furniture"/>
    <n v="1591.34"/>
    <n v="2043.82"/>
    <x v="1"/>
    <n v="0.28999999999999998"/>
    <s v="Cash"/>
    <x v="1"/>
    <s v="West-Eve"/>
    <n v="0.28999999999999998"/>
    <n v="4553.3080999999993"/>
  </r>
  <r>
    <n v="1099"/>
    <d v="2023-06-01T00:00:00"/>
    <x v="4"/>
    <s v="South"/>
    <n v="2496.02"/>
    <n v="2"/>
    <s v="Electronics"/>
    <n v="2038.4"/>
    <n v="2073.3200000000002"/>
    <x v="1"/>
    <n v="0.16"/>
    <s v="Cash"/>
    <x v="1"/>
    <s v="South-Alice"/>
    <n v="0.16"/>
    <n v="2096.6567999999997"/>
  </r>
  <r>
    <n v="1055"/>
    <d v="2023-09-03T00:00:00"/>
    <x v="2"/>
    <s v="West"/>
    <n v="7169.12"/>
    <n v="12"/>
    <s v="Electronics"/>
    <n v="2538.61"/>
    <n v="2971.75"/>
    <x v="0"/>
    <n v="0.24"/>
    <s v="Cash"/>
    <x v="0"/>
    <s v="West-Charlie"/>
    <n v="0.24"/>
    <n v="5448.5312000000004"/>
  </r>
  <r>
    <n v="1040"/>
    <d v="2023-03-10T00:00:00"/>
    <x v="4"/>
    <s v="East"/>
    <n v="1004.78"/>
    <n v="42"/>
    <s v="Electronics"/>
    <n v="4205.29"/>
    <n v="4382.3500000000004"/>
    <x v="1"/>
    <n v="0.25"/>
    <s v="Cash"/>
    <x v="1"/>
    <s v="East-Alice"/>
    <n v="0.25"/>
    <n v="753.58500000000004"/>
  </r>
  <r>
    <n v="1052"/>
    <d v="2023-11-08T00:00:00"/>
    <x v="2"/>
    <s v="East"/>
    <n v="2072.7800000000002"/>
    <n v="18"/>
    <s v="Furniture"/>
    <n v="3271.62"/>
    <n v="3722.38"/>
    <x v="0"/>
    <n v="0.19"/>
    <s v="Bank Transfer"/>
    <x v="1"/>
    <s v="East-Charlie"/>
    <n v="0.19"/>
    <n v="1678.9518000000003"/>
  </r>
  <r>
    <n v="1016"/>
    <d v="2023-10-16T00:00:00"/>
    <x v="3"/>
    <s v="West"/>
    <n v="8786.9500000000007"/>
    <n v="11"/>
    <s v="Electronics"/>
    <n v="3094.57"/>
    <n v="3565.6"/>
    <x v="0"/>
    <n v="0.1"/>
    <s v="Credit Card"/>
    <x v="1"/>
    <s v="West-Eve"/>
    <n v="0.1"/>
    <n v="7908.255000000001"/>
  </r>
  <r>
    <n v="1013"/>
    <d v="2023-09-07T00:00:00"/>
    <x v="4"/>
    <s v="West"/>
    <n v="7413.36"/>
    <n v="16"/>
    <s v="Furniture"/>
    <n v="919.58"/>
    <n v="1258.3"/>
    <x v="0"/>
    <n v="0.14000000000000001"/>
    <s v="Bank Transfer"/>
    <x v="0"/>
    <s v="West-Alice"/>
    <n v="0.14000000000000001"/>
    <n v="6375.4895999999999"/>
  </r>
  <r>
    <n v="1030"/>
    <d v="2023-02-05T00:00:00"/>
    <x v="1"/>
    <s v="East"/>
    <n v="236.08"/>
    <n v="49"/>
    <s v="Furniture"/>
    <n v="2590.29"/>
    <n v="2925.86"/>
    <x v="0"/>
    <n v="0.26"/>
    <s v="Cash"/>
    <x v="1"/>
    <s v="East-David"/>
    <n v="0.26"/>
    <n v="174.69920000000002"/>
  </r>
  <r>
    <n v="1019"/>
    <d v="2023-08-27T00:00:00"/>
    <x v="2"/>
    <s v="North"/>
    <n v="2558.92"/>
    <n v="18"/>
    <s v="Food"/>
    <n v="3591.14"/>
    <n v="3822.99"/>
    <x v="0"/>
    <n v="0.09"/>
    <s v="Credit Card"/>
    <x v="0"/>
    <s v="North-Charlie"/>
    <n v="0.09"/>
    <n v="2328.6172000000001"/>
  </r>
  <r>
    <n v="1017"/>
    <d v="2023-05-28T00:00:00"/>
    <x v="1"/>
    <s v="East"/>
    <n v="2222.62"/>
    <n v="35"/>
    <s v="Electronics"/>
    <n v="4867.6400000000003"/>
    <n v="5287.05"/>
    <x v="0"/>
    <n v="0.28000000000000003"/>
    <s v="Credit Card"/>
    <x v="0"/>
    <s v="East-David"/>
    <n v="0.28000000000000003"/>
    <n v="1600.2864"/>
  </r>
  <r>
    <n v="1063"/>
    <d v="2023-08-15T00:00:00"/>
    <x v="4"/>
    <s v="East"/>
    <n v="2780.98"/>
    <n v="26"/>
    <s v="Food"/>
    <n v="1046.96"/>
    <n v="1528.15"/>
    <x v="1"/>
    <n v="7.0000000000000007E-2"/>
    <s v="Credit Card"/>
    <x v="1"/>
    <s v="East-Alice"/>
    <n v="7.0000000000000007E-2"/>
    <n v="2586.3114"/>
  </r>
  <r>
    <n v="1019"/>
    <d v="2023-09-01T00:00:00"/>
    <x v="1"/>
    <s v="West"/>
    <n v="2550.84"/>
    <n v="16"/>
    <s v="Clothing"/>
    <n v="97.24"/>
    <n v="487.03"/>
    <x v="1"/>
    <n v="0.22"/>
    <s v="Bank Transfer"/>
    <x v="1"/>
    <s v="West-David"/>
    <n v="0.22"/>
    <n v="1989.6552000000001"/>
  </r>
  <r>
    <n v="1092"/>
    <d v="2023-12-03T00:00:00"/>
    <x v="1"/>
    <s v="East"/>
    <n v="719.01"/>
    <n v="6"/>
    <s v="Clothing"/>
    <n v="422.74"/>
    <n v="737.49"/>
    <x v="0"/>
    <n v="0.19"/>
    <s v="Credit Card"/>
    <x v="1"/>
    <s v="East-David"/>
    <n v="0.19"/>
    <n v="582.3981"/>
  </r>
  <r>
    <n v="1058"/>
    <d v="2023-12-31T00:00:00"/>
    <x v="4"/>
    <s v="West"/>
    <n v="4643.51"/>
    <n v="44"/>
    <s v="Clothing"/>
    <n v="1910.47"/>
    <n v="2217.8000000000002"/>
    <x v="1"/>
    <n v="0.22"/>
    <s v="Bank Transfer"/>
    <x v="0"/>
    <s v="West-Alice"/>
    <n v="0.22"/>
    <n v="3621.9378000000002"/>
  </r>
  <r>
    <n v="1055"/>
    <d v="2023-07-20T00:00:00"/>
    <x v="3"/>
    <s v="West"/>
    <n v="7354.06"/>
    <n v="43"/>
    <s v="Furniture"/>
    <n v="4111.7"/>
    <n v="4537.9399999999996"/>
    <x v="0"/>
    <n v="0.13"/>
    <s v="Bank Transfer"/>
    <x v="0"/>
    <s v="West-Eve"/>
    <n v="0.13"/>
    <n v="6398.0322000000006"/>
  </r>
  <r>
    <n v="1090"/>
    <d v="2023-06-03T00:00:00"/>
    <x v="1"/>
    <s v="South"/>
    <n v="6106.64"/>
    <n v="47"/>
    <s v="Furniture"/>
    <n v="85.35"/>
    <n v="360.539999999999"/>
    <x v="1"/>
    <n v="0.28000000000000003"/>
    <s v="Cash"/>
    <x v="0"/>
    <s v="South-David"/>
    <n v="0.28000000000000003"/>
    <n v="4396.7808000000005"/>
  </r>
  <r>
    <n v="1090"/>
    <d v="2023-03-14T00:00:00"/>
    <x v="1"/>
    <s v="East"/>
    <n v="6761.43"/>
    <n v="47"/>
    <s v="Furniture"/>
    <n v="2310.8200000000002"/>
    <n v="2714.71"/>
    <x v="1"/>
    <n v="0.19"/>
    <s v="Cash"/>
    <x v="1"/>
    <s v="East-David"/>
    <n v="0.19"/>
    <n v="5476.7583000000004"/>
  </r>
  <r>
    <n v="1062"/>
    <d v="2023-07-20T00:00:00"/>
    <x v="3"/>
    <s v="North"/>
    <n v="903.38"/>
    <n v="48"/>
    <s v="Electronics"/>
    <n v="1679.69"/>
    <n v="1939.04"/>
    <x v="1"/>
    <n v="0.09"/>
    <s v="Credit Card"/>
    <x v="0"/>
    <s v="North-Eve"/>
    <n v="0.09"/>
    <n v="822.07580000000007"/>
  </r>
  <r>
    <n v="1023"/>
    <d v="2023-10-23T00:00:00"/>
    <x v="1"/>
    <s v="South"/>
    <n v="9519.76"/>
    <n v="42"/>
    <s v="Food"/>
    <n v="309.77999999999997"/>
    <n v="350.38"/>
    <x v="0"/>
    <n v="0.19"/>
    <s v="Credit Card"/>
    <x v="1"/>
    <s v="South-David"/>
    <n v="0.19"/>
    <n v="7711.0056000000004"/>
  </r>
  <r>
    <n v="1009"/>
    <d v="2023-01-17T00:00:00"/>
    <x v="1"/>
    <s v="West"/>
    <n v="8401.07"/>
    <n v="12"/>
    <s v="Furniture"/>
    <n v="2278.67"/>
    <n v="2476.8000000000002"/>
    <x v="1"/>
    <n v="0.09"/>
    <s v="Cash"/>
    <x v="1"/>
    <s v="West-David"/>
    <n v="0.09"/>
    <n v="7644.9736999999996"/>
  </r>
  <r>
    <n v="1012"/>
    <d v="2023-05-09T00:00:00"/>
    <x v="1"/>
    <s v="West"/>
    <n v="8070.39"/>
    <n v="13"/>
    <s v="Food"/>
    <n v="1311.01"/>
    <n v="1538.79"/>
    <x v="0"/>
    <n v="0.09"/>
    <s v="Bank Transfer"/>
    <x v="1"/>
    <s v="West-David"/>
    <n v="0.09"/>
    <n v="7344.054900000001"/>
  </r>
  <r>
    <n v="1001"/>
    <d v="2023-08-05T00:00:00"/>
    <x v="0"/>
    <s v="North"/>
    <n v="8247.5400000000009"/>
    <n v="4"/>
    <s v="Food"/>
    <n v="1791.83"/>
    <n v="1871.22"/>
    <x v="0"/>
    <n v="0.12"/>
    <s v="Bank Transfer"/>
    <x v="0"/>
    <s v="North-Bob"/>
    <n v="0.12"/>
    <n v="7257.8352000000004"/>
  </r>
  <r>
    <n v="1058"/>
    <d v="2023-03-02T00:00:00"/>
    <x v="3"/>
    <s v="West"/>
    <n v="9333.83"/>
    <n v="39"/>
    <s v="Food"/>
    <n v="3542.8"/>
    <n v="3603.02"/>
    <x v="0"/>
    <n v="0.26"/>
    <s v="Cash"/>
    <x v="0"/>
    <s v="West-Eve"/>
    <n v="0.26"/>
    <n v="6907.0342000000001"/>
  </r>
  <r>
    <n v="1001"/>
    <d v="2023-04-14T00:00:00"/>
    <x v="1"/>
    <s v="East"/>
    <n v="5488.11"/>
    <n v="2"/>
    <s v="Electronics"/>
    <n v="2631.68"/>
    <n v="2904.06"/>
    <x v="1"/>
    <n v="0.15"/>
    <s v="Bank Transfer"/>
    <x v="0"/>
    <s v="East-David"/>
    <n v="0.15"/>
    <n v="4664.8934999999992"/>
  </r>
  <r>
    <n v="1034"/>
    <d v="2023-02-11T00:00:00"/>
    <x v="3"/>
    <s v="South"/>
    <n v="2082.79"/>
    <n v="26"/>
    <s v="Electronics"/>
    <n v="667"/>
    <n v="718.72"/>
    <x v="1"/>
    <n v="0.2"/>
    <s v="Cash"/>
    <x v="1"/>
    <s v="South-Eve"/>
    <n v="0.2"/>
    <n v="1666.232"/>
  </r>
  <r>
    <n v="1096"/>
    <d v="2023-01-25T00:00:00"/>
    <x v="2"/>
    <s v="West"/>
    <n v="6206.16"/>
    <n v="27"/>
    <s v="Clothing"/>
    <n v="4809"/>
    <n v="4967.4399999999996"/>
    <x v="1"/>
    <n v="0.12"/>
    <s v="Cash"/>
    <x v="0"/>
    <s v="West-Charlie"/>
    <n v="0.12"/>
    <n v="5461.4207999999999"/>
  </r>
  <r>
    <n v="1048"/>
    <d v="2023-02-08T00:00:00"/>
    <x v="2"/>
    <s v="West"/>
    <n v="7454.53"/>
    <n v="27"/>
    <s v="Clothing"/>
    <n v="3197.76"/>
    <n v="3572.61"/>
    <x v="0"/>
    <n v="0.08"/>
    <s v="Credit Card"/>
    <x v="0"/>
    <s v="West-Charlie"/>
    <n v="0.08"/>
    <n v="6858.1675999999998"/>
  </r>
  <r>
    <n v="1089"/>
    <d v="2023-10-18T00:00:00"/>
    <x v="1"/>
    <s v="North"/>
    <n v="7405.38"/>
    <n v="15"/>
    <s v="Food"/>
    <n v="3841.05"/>
    <n v="4323.62"/>
    <x v="0"/>
    <n v="0.28999999999999998"/>
    <s v="Credit Card"/>
    <x v="1"/>
    <s v="North-David"/>
    <n v="0.28999999999999998"/>
    <n v="5257.8198000000002"/>
  </r>
  <r>
    <n v="1001"/>
    <d v="2023-05-11T00:00:00"/>
    <x v="3"/>
    <s v="East"/>
    <n v="5262.35"/>
    <n v="8"/>
    <s v="Clothing"/>
    <n v="442.11"/>
    <n v="803.87"/>
    <x v="1"/>
    <n v="0.18"/>
    <s v="Cash"/>
    <x v="1"/>
    <s v="East-Eve"/>
    <n v="0.18"/>
    <n v="4315.1270000000004"/>
  </r>
  <r>
    <n v="1016"/>
    <d v="2023-08-17T00:00:00"/>
    <x v="3"/>
    <s v="West"/>
    <n v="777.74"/>
    <n v="7"/>
    <s v="Food"/>
    <n v="282.94"/>
    <n v="779.32999999999902"/>
    <x v="0"/>
    <n v="0.28000000000000003"/>
    <s v="Credit Card"/>
    <x v="0"/>
    <s v="West-Eve"/>
    <n v="0.28000000000000003"/>
    <n v="559.97280000000001"/>
  </r>
  <r>
    <n v="1061"/>
    <d v="2023-04-18T00:00:00"/>
    <x v="3"/>
    <s v="North"/>
    <n v="3774.02"/>
    <n v="47"/>
    <s v="Electronics"/>
    <n v="146.27000000000001"/>
    <n v="498.46"/>
    <x v="1"/>
    <n v="0.06"/>
    <s v="Cash"/>
    <x v="1"/>
    <s v="North-Eve"/>
    <n v="0.06"/>
    <n v="3547.5787999999998"/>
  </r>
  <r>
    <n v="1064"/>
    <d v="2023-06-21T00:00:00"/>
    <x v="0"/>
    <s v="West"/>
    <n v="9215.59"/>
    <n v="46"/>
    <s v="Electronics"/>
    <n v="984.53"/>
    <n v="1138.49"/>
    <x v="1"/>
    <n v="0.04"/>
    <s v="Bank Transfer"/>
    <x v="0"/>
    <s v="West-Bob"/>
    <n v="0.04"/>
    <n v="8846.9663999999993"/>
  </r>
  <r>
    <n v="1063"/>
    <d v="2023-04-12T00:00:00"/>
    <x v="2"/>
    <s v="North"/>
    <n v="5886.04"/>
    <n v="40"/>
    <s v="Electronics"/>
    <n v="2101.3200000000002"/>
    <n v="2440.63"/>
    <x v="1"/>
    <n v="0.26"/>
    <s v="Bank Transfer"/>
    <x v="1"/>
    <s v="North-Charlie"/>
    <n v="0.26"/>
    <n v="4355.6696000000002"/>
  </r>
  <r>
    <n v="1069"/>
    <d v="2023-12-20T00:00:00"/>
    <x v="3"/>
    <s v="North"/>
    <n v="5429.49"/>
    <n v="12"/>
    <s v="Furniture"/>
    <n v="4682.34"/>
    <n v="5036.3999999999996"/>
    <x v="1"/>
    <n v="0.2"/>
    <s v="Bank Transfer"/>
    <x v="1"/>
    <s v="North-Eve"/>
    <n v="0.2"/>
    <n v="4343.5919999999996"/>
  </r>
  <r>
    <n v="1022"/>
    <d v="2023-01-12T00:00:00"/>
    <x v="3"/>
    <s v="East"/>
    <n v="2761.65"/>
    <n v="13"/>
    <s v="Food"/>
    <n v="2312.4499999999998"/>
    <n v="2504.6"/>
    <x v="0"/>
    <n v="0.06"/>
    <s v="Bank Transfer"/>
    <x v="0"/>
    <s v="East-Eve"/>
    <n v="0.06"/>
    <n v="2595.951"/>
  </r>
  <r>
    <n v="1093"/>
    <d v="2023-10-02T00:00:00"/>
    <x v="0"/>
    <s v="West"/>
    <n v="3747.64"/>
    <n v="43"/>
    <s v="Electronics"/>
    <n v="1486.76"/>
    <n v="1505.44"/>
    <x v="1"/>
    <n v="0.08"/>
    <s v="Cash"/>
    <x v="1"/>
    <s v="West-Bob"/>
    <n v="0.08"/>
    <n v="3447.8288000000002"/>
  </r>
  <r>
    <n v="1067"/>
    <d v="2023-04-11T00:00:00"/>
    <x v="0"/>
    <s v="East"/>
    <n v="8963.93"/>
    <n v="17"/>
    <s v="Food"/>
    <n v="2831.58"/>
    <n v="3186.15"/>
    <x v="1"/>
    <n v="0.24"/>
    <s v="Bank Transfer"/>
    <x v="1"/>
    <s v="East-Bob"/>
    <n v="0.24"/>
    <n v="6812.5868"/>
  </r>
  <r>
    <n v="1076"/>
    <d v="2023-02-13T00:00:00"/>
    <x v="3"/>
    <s v="North"/>
    <n v="6697.98"/>
    <n v="17"/>
    <s v="Clothing"/>
    <n v="604.08000000000004"/>
    <n v="624.71"/>
    <x v="1"/>
    <n v="0.14000000000000001"/>
    <s v="Bank Transfer"/>
    <x v="1"/>
    <s v="North-Eve"/>
    <n v="0.14000000000000001"/>
    <n v="5760.2627999999995"/>
  </r>
  <r>
    <n v="1026"/>
    <d v="2023-11-01T00:00:00"/>
    <x v="4"/>
    <s v="South"/>
    <n v="7895.13"/>
    <n v="36"/>
    <s v="Clothing"/>
    <n v="3067.05"/>
    <n v="3386.33"/>
    <x v="1"/>
    <n v="0.2"/>
    <s v="Bank Transfer"/>
    <x v="0"/>
    <s v="South-Alice"/>
    <n v="0.2"/>
    <n v="6316.1040000000003"/>
  </r>
  <r>
    <n v="1016"/>
    <d v="2023-01-17T00:00:00"/>
    <x v="3"/>
    <s v="West"/>
    <n v="4598.0200000000004"/>
    <n v="21"/>
    <s v="Electronics"/>
    <n v="2863.74"/>
    <n v="2953.91"/>
    <x v="1"/>
    <n v="0.1"/>
    <s v="Bank Transfer"/>
    <x v="1"/>
    <s v="West-Eve"/>
    <n v="0.1"/>
    <n v="4138.2180000000008"/>
  </r>
  <r>
    <n v="1051"/>
    <d v="2023-11-26T00:00:00"/>
    <x v="3"/>
    <s v="South"/>
    <n v="6339.45"/>
    <n v="8"/>
    <s v="Food"/>
    <n v="3970.37"/>
    <n v="4257.5199999999904"/>
    <x v="1"/>
    <n v="0.11"/>
    <s v="Cash"/>
    <x v="1"/>
    <s v="South-Eve"/>
    <n v="0.11"/>
    <n v="5642.1104999999998"/>
  </r>
  <r>
    <n v="1086"/>
    <d v="2023-02-26T00:00:00"/>
    <x v="0"/>
    <s v="West"/>
    <n v="2559"/>
    <n v="5"/>
    <s v="Electronics"/>
    <n v="4934.1000000000004"/>
    <n v="5191.0200000000004"/>
    <x v="1"/>
    <n v="0.3"/>
    <s v="Bank Transfer"/>
    <x v="0"/>
    <s v="West-Bob"/>
    <n v="0.3"/>
    <n v="1791.3"/>
  </r>
  <r>
    <n v="1057"/>
    <d v="2023-11-07T00:00:00"/>
    <x v="0"/>
    <s v="East"/>
    <n v="7084.06"/>
    <n v="26"/>
    <s v="Clothing"/>
    <n v="1291.82"/>
    <n v="1308.4399999999901"/>
    <x v="0"/>
    <n v="7.0000000000000007E-2"/>
    <s v="Credit Card"/>
    <x v="0"/>
    <s v="East-Bob"/>
    <n v="7.0000000000000007E-2"/>
    <n v="6588.1758"/>
  </r>
  <r>
    <n v="1029"/>
    <d v="2023-10-30T00:00:00"/>
    <x v="3"/>
    <s v="East"/>
    <n v="4333.25"/>
    <n v="16"/>
    <s v="Electronics"/>
    <n v="2572.8000000000002"/>
    <n v="2760.6"/>
    <x v="0"/>
    <n v="0.15"/>
    <s v="Credit Card"/>
    <x v="1"/>
    <s v="East-Eve"/>
    <n v="0.15"/>
    <n v="3683.2624999999998"/>
  </r>
  <r>
    <n v="1078"/>
    <d v="2023-01-12T00:00:00"/>
    <x v="3"/>
    <s v="East"/>
    <n v="4481.2"/>
    <n v="36"/>
    <s v="Food"/>
    <n v="4548.88"/>
    <n v="4853.41"/>
    <x v="0"/>
    <n v="0.25"/>
    <s v="Credit Card"/>
    <x v="1"/>
    <s v="East-Eve"/>
    <n v="0.25"/>
    <n v="3360.8999999999996"/>
  </r>
  <r>
    <n v="1092"/>
    <d v="2023-11-14T00:00:00"/>
    <x v="3"/>
    <s v="East"/>
    <n v="6528.29"/>
    <n v="28"/>
    <s v="Clothing"/>
    <n v="3936.69"/>
    <n v="4362.51"/>
    <x v="0"/>
    <n v="7.0000000000000007E-2"/>
    <s v="Credit Card"/>
    <x v="1"/>
    <s v="East-Eve"/>
    <n v="7.0000000000000007E-2"/>
    <n v="6071.3096999999998"/>
  </r>
  <r>
    <n v="1069"/>
    <d v="2023-03-21T00:00:00"/>
    <x v="0"/>
    <s v="East"/>
    <n v="9369.18"/>
    <n v="29"/>
    <s v="Furniture"/>
    <n v="2462.66"/>
    <n v="2908.0899999999901"/>
    <x v="1"/>
    <n v="0.12"/>
    <s v="Credit Card"/>
    <x v="0"/>
    <s v="East-Bob"/>
    <n v="0.12"/>
    <n v="8244.8783999999996"/>
  </r>
  <r>
    <n v="1047"/>
    <d v="2023-08-04T00:00:00"/>
    <x v="3"/>
    <s v="South"/>
    <n v="733.66"/>
    <n v="47"/>
    <s v="Clothing"/>
    <n v="4729.59"/>
    <n v="4976.68"/>
    <x v="0"/>
    <n v="0.18"/>
    <s v="Credit Card"/>
    <x v="1"/>
    <s v="South-Eve"/>
    <n v="0.18"/>
    <n v="601.60120000000006"/>
  </r>
  <r>
    <n v="1094"/>
    <d v="2023-12-05T00:00:00"/>
    <x v="3"/>
    <s v="East"/>
    <n v="8264.9599999999991"/>
    <n v="12"/>
    <s v="Furniture"/>
    <n v="333.32"/>
    <n v="700.25"/>
    <x v="0"/>
    <n v="0.14000000000000001"/>
    <s v="Cash"/>
    <x v="0"/>
    <s v="East-Eve"/>
    <n v="0.14000000000000001"/>
    <n v="7107.8655999999992"/>
  </r>
  <r>
    <n v="1062"/>
    <d v="2023-09-21T00:00:00"/>
    <x v="1"/>
    <s v="North"/>
    <n v="2994.59"/>
    <n v="37"/>
    <s v="Electronics"/>
    <n v="4658.4399999999996"/>
    <n v="4823.5"/>
    <x v="0"/>
    <n v="0.14000000000000001"/>
    <s v="Credit Card"/>
    <x v="0"/>
    <s v="North-David"/>
    <n v="0.14000000000000001"/>
    <n v="2575.3474000000001"/>
  </r>
  <r>
    <n v="1069"/>
    <d v="2023-05-29T00:00:00"/>
    <x v="4"/>
    <s v="North"/>
    <n v="4494.8"/>
    <n v="30"/>
    <s v="Electronics"/>
    <n v="300.01"/>
    <n v="477.67999999999898"/>
    <x v="1"/>
    <n v="0.11"/>
    <s v="Bank Transfer"/>
    <x v="1"/>
    <s v="North-Alice"/>
    <n v="0.11"/>
    <n v="4000.3720000000003"/>
  </r>
  <r>
    <n v="1076"/>
    <d v="2023-03-22T00:00:00"/>
    <x v="2"/>
    <s v="South"/>
    <n v="316.94"/>
    <n v="23"/>
    <s v="Food"/>
    <n v="2759.16"/>
    <n v="2864.45"/>
    <x v="0"/>
    <n v="0.18"/>
    <s v="Credit Card"/>
    <x v="1"/>
    <s v="South-Charlie"/>
    <n v="0.18"/>
    <n v="259.89080000000001"/>
  </r>
  <r>
    <n v="1016"/>
    <d v="2023-08-03T00:00:00"/>
    <x v="4"/>
    <s v="West"/>
    <n v="3080.36"/>
    <n v="16"/>
    <s v="Furniture"/>
    <n v="4457.68"/>
    <n v="4743.03"/>
    <x v="0"/>
    <n v="0.19"/>
    <s v="Cash"/>
    <x v="0"/>
    <s v="West-Alice"/>
    <n v="0.19"/>
    <n v="2495.0916000000002"/>
  </r>
  <r>
    <n v="1090"/>
    <d v="2023-07-17T00:00:00"/>
    <x v="1"/>
    <s v="North"/>
    <n v="5076.05"/>
    <n v="14"/>
    <s v="Electronics"/>
    <n v="1350.47"/>
    <n v="1514.61"/>
    <x v="1"/>
    <n v="0.2"/>
    <s v="Credit Card"/>
    <x v="1"/>
    <s v="North-David"/>
    <n v="0.2"/>
    <n v="4060.84"/>
  </r>
  <r>
    <n v="1090"/>
    <d v="2023-07-19T00:00:00"/>
    <x v="2"/>
    <s v="West"/>
    <n v="656.14"/>
    <n v="10"/>
    <s v="Furniture"/>
    <n v="2387.63"/>
    <n v="2438.9699999999998"/>
    <x v="0"/>
    <n v="0.02"/>
    <s v="Bank Transfer"/>
    <x v="1"/>
    <s v="West-Charlie"/>
    <n v="0.02"/>
    <n v="643.0172"/>
  </r>
  <r>
    <n v="1048"/>
    <d v="2023-01-25T00:00:00"/>
    <x v="3"/>
    <s v="South"/>
    <n v="4961.8500000000004"/>
    <n v="7"/>
    <s v="Electronics"/>
    <n v="1655.43"/>
    <n v="2001.08"/>
    <x v="1"/>
    <n v="0.19"/>
    <s v="Bank Transfer"/>
    <x v="0"/>
    <s v="South-Eve"/>
    <n v="0.19"/>
    <n v="4019.0985000000005"/>
  </r>
  <r>
    <n v="1085"/>
    <d v="2023-03-30T00:00:00"/>
    <x v="1"/>
    <s v="West"/>
    <n v="9278.4"/>
    <n v="45"/>
    <s v="Clothing"/>
    <n v="4763.1099999999997"/>
    <n v="5119.91"/>
    <x v="0"/>
    <n v="0.28999999999999998"/>
    <s v="Cash"/>
    <x v="1"/>
    <s v="West-David"/>
    <n v="0.28999999999999998"/>
    <n v="6587.6639999999998"/>
  </r>
  <r>
    <n v="1039"/>
    <d v="2023-09-25T00:00:00"/>
    <x v="3"/>
    <s v="West"/>
    <n v="1143.3900000000001"/>
    <n v="37"/>
    <s v="Electronics"/>
    <n v="4127.05"/>
    <n v="4313.45"/>
    <x v="1"/>
    <n v="0.16"/>
    <s v="Cash"/>
    <x v="0"/>
    <s v="West-Eve"/>
    <n v="0.16"/>
    <n v="960.44760000000008"/>
  </r>
  <r>
    <n v="1100"/>
    <d v="2023-05-23T00:00:00"/>
    <x v="0"/>
    <s v="West"/>
    <n v="7667.96"/>
    <n v="29"/>
    <s v="Food"/>
    <n v="3559.56"/>
    <n v="3607.15"/>
    <x v="0"/>
    <n v="0.21"/>
    <s v="Cash"/>
    <x v="1"/>
    <s v="West-Bob"/>
    <n v="0.21"/>
    <n v="6057.6884"/>
  </r>
  <r>
    <n v="1033"/>
    <d v="2023-02-28T00:00:00"/>
    <x v="1"/>
    <s v="West"/>
    <n v="4155.74"/>
    <n v="3"/>
    <s v="Clothing"/>
    <n v="2958.75"/>
    <n v="3177.64"/>
    <x v="0"/>
    <n v="0.17"/>
    <s v="Cash"/>
    <x v="0"/>
    <s v="West-David"/>
    <n v="0.17"/>
    <n v="3449.2641999999996"/>
  </r>
  <r>
    <n v="1094"/>
    <d v="2023-12-31T00:00:00"/>
    <x v="0"/>
    <s v="South"/>
    <n v="6586.22"/>
    <n v="15"/>
    <s v="Food"/>
    <n v="4111.93"/>
    <n v="4338.67"/>
    <x v="0"/>
    <n v="0.26"/>
    <s v="Credit Card"/>
    <x v="0"/>
    <s v="South-Bob"/>
    <n v="0.26"/>
    <n v="4873.8028000000004"/>
  </r>
  <r>
    <n v="1023"/>
    <d v="2023-01-26T00:00:00"/>
    <x v="1"/>
    <s v="North"/>
    <n v="2676.34"/>
    <n v="36"/>
    <s v="Clothing"/>
    <n v="1991.72"/>
    <n v="2329.37"/>
    <x v="1"/>
    <n v="0.28000000000000003"/>
    <s v="Credit Card"/>
    <x v="1"/>
    <s v="North-David"/>
    <n v="0.28000000000000003"/>
    <n v="1926.9648"/>
  </r>
  <r>
    <n v="1010"/>
    <d v="2023-02-16T00:00:00"/>
    <x v="1"/>
    <s v="East"/>
    <n v="1678.97"/>
    <n v="47"/>
    <s v="Furniture"/>
    <n v="2265.38"/>
    <n v="2429.9299999999998"/>
    <x v="0"/>
    <n v="0.06"/>
    <s v="Bank Transfer"/>
    <x v="0"/>
    <s v="East-David"/>
    <n v="0.06"/>
    <n v="1578.2318"/>
  </r>
  <r>
    <n v="1069"/>
    <d v="2023-10-15T00:00:00"/>
    <x v="0"/>
    <s v="West"/>
    <n v="1688.58"/>
    <n v="46"/>
    <s v="Food"/>
    <n v="3663.51"/>
    <n v="4007.98"/>
    <x v="1"/>
    <n v="0.13"/>
    <s v="Cash"/>
    <x v="0"/>
    <s v="West-Bob"/>
    <n v="0.13"/>
    <n v="1469.0645999999999"/>
  </r>
  <r>
    <n v="1100"/>
    <d v="2023-09-23T00:00:00"/>
    <x v="2"/>
    <s v="North"/>
    <n v="797.87"/>
    <n v="19"/>
    <s v="Electronics"/>
    <n v="1820.89"/>
    <n v="2257.92"/>
    <x v="1"/>
    <n v="0.12"/>
    <s v="Cash"/>
    <x v="1"/>
    <s v="North-Charlie"/>
    <n v="0.12"/>
    <n v="702.12559999999996"/>
  </r>
  <r>
    <n v="1034"/>
    <d v="2023-01-16T00:00:00"/>
    <x v="4"/>
    <s v="North"/>
    <n v="1937.9"/>
    <n v="13"/>
    <s v="Furniture"/>
    <n v="366.31"/>
    <n v="492.68"/>
    <x v="1"/>
    <n v="0.12"/>
    <s v="Credit Card"/>
    <x v="1"/>
    <s v="North-Alice"/>
    <n v="0.12"/>
    <n v="1705.3520000000001"/>
  </r>
  <r>
    <n v="1052"/>
    <d v="2023-07-18T00:00:00"/>
    <x v="3"/>
    <s v="South"/>
    <n v="6675.77"/>
    <n v="42"/>
    <s v="Electronics"/>
    <n v="417.96"/>
    <n v="907.63"/>
    <x v="1"/>
    <n v="0.04"/>
    <s v="Cash"/>
    <x v="1"/>
    <s v="South-Eve"/>
    <n v="0.04"/>
    <n v="6408.7392"/>
  </r>
  <r>
    <n v="1095"/>
    <d v="2023-10-09T00:00:00"/>
    <x v="1"/>
    <s v="North"/>
    <n v="8828.74"/>
    <n v="21"/>
    <s v="Clothing"/>
    <n v="621.04999999999995"/>
    <n v="820.36999999999898"/>
    <x v="0"/>
    <n v="0.24"/>
    <s v="Bank Transfer"/>
    <x v="0"/>
    <s v="North-David"/>
    <n v="0.24"/>
    <n v="6709.8423999999995"/>
  </r>
  <r>
    <n v="1010"/>
    <d v="2023-03-27T00:00:00"/>
    <x v="3"/>
    <s v="South"/>
    <n v="8159.84"/>
    <n v="37"/>
    <s v="Clothing"/>
    <n v="4354.92"/>
    <n v="4495.88"/>
    <x v="0"/>
    <n v="0.01"/>
    <s v="Bank Transfer"/>
    <x v="0"/>
    <s v="South-Eve"/>
    <n v="0.01"/>
    <n v="8078.2416000000003"/>
  </r>
  <r>
    <n v="1019"/>
    <d v="2023-09-07T00:00:00"/>
    <x v="0"/>
    <s v="West"/>
    <n v="6882.83"/>
    <n v="27"/>
    <s v="Electronics"/>
    <n v="2387.52"/>
    <n v="2604.06"/>
    <x v="0"/>
    <n v="0.16"/>
    <s v="Cash"/>
    <x v="0"/>
    <s v="West-Bob"/>
    <n v="0.16"/>
    <n v="5781.5771999999997"/>
  </r>
  <r>
    <n v="1058"/>
    <d v="2023-09-27T00:00:00"/>
    <x v="3"/>
    <s v="West"/>
    <n v="1193.28"/>
    <n v="29"/>
    <s v="Electronics"/>
    <n v="3578.77"/>
    <n v="3635.02"/>
    <x v="1"/>
    <n v="0.2"/>
    <s v="Bank Transfer"/>
    <x v="1"/>
    <s v="West-Eve"/>
    <n v="0.2"/>
    <n v="954.62400000000002"/>
  </r>
  <r>
    <n v="1096"/>
    <d v="2023-12-01T00:00:00"/>
    <x v="0"/>
    <s v="East"/>
    <n v="2962.96"/>
    <n v="20"/>
    <s v="Furniture"/>
    <n v="1994.9"/>
    <n v="2066.5"/>
    <x v="0"/>
    <n v="0.06"/>
    <s v="Bank Transfer"/>
    <x v="0"/>
    <s v="East-Bob"/>
    <n v="0.06"/>
    <n v="2785.1823999999997"/>
  </r>
  <r>
    <n v="1001"/>
    <d v="2023-04-27T00:00:00"/>
    <x v="3"/>
    <s v="East"/>
    <n v="3167.09"/>
    <n v="25"/>
    <s v="Electronics"/>
    <n v="1330.62"/>
    <n v="1543.6899999999901"/>
    <x v="1"/>
    <n v="0.27"/>
    <s v="Credit Card"/>
    <x v="0"/>
    <s v="East-Eve"/>
    <n v="0.27"/>
    <n v="2311.9757"/>
  </r>
  <r>
    <n v="1069"/>
    <d v="2023-01-07T00:00:00"/>
    <x v="4"/>
    <s v="East"/>
    <n v="2574.5700000000002"/>
    <n v="6"/>
    <s v="Food"/>
    <n v="1768.6"/>
    <n v="2152.1999999999998"/>
    <x v="1"/>
    <n v="0.25"/>
    <s v="Bank Transfer"/>
    <x v="1"/>
    <s v="East-Alice"/>
    <n v="0.25"/>
    <n v="1930.9275000000002"/>
  </r>
  <r>
    <n v="1004"/>
    <d v="2023-05-17T00:00:00"/>
    <x v="4"/>
    <s v="North"/>
    <n v="5198.5600000000004"/>
    <n v="36"/>
    <s v="Food"/>
    <n v="3981.2"/>
    <n v="4432.3499999999904"/>
    <x v="1"/>
    <n v="0.14000000000000001"/>
    <s v="Cash"/>
    <x v="0"/>
    <s v="North-Alice"/>
    <n v="0.14000000000000001"/>
    <n v="4470.7616000000007"/>
  </r>
  <r>
    <n v="1016"/>
    <d v="2023-06-25T00:00:00"/>
    <x v="4"/>
    <s v="West"/>
    <n v="5401.98"/>
    <n v="2"/>
    <s v="Electronics"/>
    <n v="3144.82"/>
    <n v="3480.58"/>
    <x v="0"/>
    <n v="0.12"/>
    <s v="Cash"/>
    <x v="1"/>
    <s v="West-Alice"/>
    <n v="0.12"/>
    <n v="4753.7424000000001"/>
  </r>
  <r>
    <n v="1024"/>
    <d v="2023-11-24T00:00:00"/>
    <x v="4"/>
    <s v="South"/>
    <n v="3633.17"/>
    <n v="22"/>
    <s v="Food"/>
    <n v="4691.32"/>
    <n v="4752.88"/>
    <x v="0"/>
    <n v="7.0000000000000007E-2"/>
    <s v="Bank Transfer"/>
    <x v="1"/>
    <s v="South-Alice"/>
    <n v="7.0000000000000007E-2"/>
    <n v="3378.8480999999997"/>
  </r>
  <r>
    <n v="1080"/>
    <d v="2023-11-11T00:00:00"/>
    <x v="4"/>
    <s v="East"/>
    <n v="3602.51"/>
    <n v="32"/>
    <s v="Electronics"/>
    <n v="3414.54"/>
    <n v="3753.83"/>
    <x v="1"/>
    <n v="0.22"/>
    <s v="Cash"/>
    <x v="1"/>
    <s v="East-Alice"/>
    <n v="0.22"/>
    <n v="2809.9578000000001"/>
  </r>
  <r>
    <n v="1002"/>
    <d v="2023-08-03T00:00:00"/>
    <x v="4"/>
    <s v="South"/>
    <n v="8302.7000000000007"/>
    <n v="16"/>
    <s v="Furniture"/>
    <n v="2872.4"/>
    <n v="3193.76"/>
    <x v="0"/>
    <n v="0.04"/>
    <s v="Credit Card"/>
    <x v="0"/>
    <s v="South-Alice"/>
    <n v="0.04"/>
    <n v="7970.5920000000006"/>
  </r>
  <r>
    <n v="1092"/>
    <d v="2023-03-23T00:00:00"/>
    <x v="0"/>
    <s v="South"/>
    <n v="7914"/>
    <n v="18"/>
    <s v="Food"/>
    <n v="3070.47"/>
    <n v="3475.29"/>
    <x v="0"/>
    <n v="0.2"/>
    <s v="Bank Transfer"/>
    <x v="0"/>
    <s v="South-Bob"/>
    <n v="0.2"/>
    <n v="6331.2000000000007"/>
  </r>
  <r>
    <n v="1032"/>
    <d v="2023-08-11T00:00:00"/>
    <x v="1"/>
    <s v="East"/>
    <n v="3147.18"/>
    <n v="5"/>
    <s v="Food"/>
    <n v="4714.74"/>
    <n v="5129.1099999999997"/>
    <x v="1"/>
    <n v="0.25"/>
    <s v="Bank Transfer"/>
    <x v="0"/>
    <s v="East-David"/>
    <n v="0.25"/>
    <n v="2360.3849999999998"/>
  </r>
  <r>
    <n v="1091"/>
    <d v="2023-04-13T00:00:00"/>
    <x v="3"/>
    <s v="West"/>
    <n v="9146.51"/>
    <n v="36"/>
    <s v="Electronics"/>
    <n v="3951.59"/>
    <n v="4387.01"/>
    <x v="1"/>
    <n v="7.0000000000000007E-2"/>
    <s v="Bank Transfer"/>
    <x v="1"/>
    <s v="West-Eve"/>
    <n v="7.0000000000000007E-2"/>
    <n v="8506.2543000000005"/>
  </r>
  <r>
    <n v="1084"/>
    <d v="2023-09-30T00:00:00"/>
    <x v="4"/>
    <s v="East"/>
    <n v="9532.8700000000008"/>
    <n v="30"/>
    <s v="Food"/>
    <n v="169"/>
    <n v="381.91999999999899"/>
    <x v="0"/>
    <n v="0.26"/>
    <s v="Cash"/>
    <x v="1"/>
    <s v="East-Alice"/>
    <n v="0.26"/>
    <n v="7054.3238000000001"/>
  </r>
  <r>
    <n v="1024"/>
    <d v="2023-01-14T00:00:00"/>
    <x v="0"/>
    <s v="South"/>
    <n v="3334.75"/>
    <n v="45"/>
    <s v="Clothing"/>
    <n v="2693.99"/>
    <n v="3045.9399999999901"/>
    <x v="1"/>
    <n v="0.01"/>
    <s v="Cash"/>
    <x v="1"/>
    <s v="South-Bob"/>
    <n v="0.01"/>
    <n v="3301.4025000000001"/>
  </r>
  <r>
    <n v="1012"/>
    <d v="2023-06-08T00:00:00"/>
    <x v="0"/>
    <s v="East"/>
    <n v="3608.81"/>
    <n v="19"/>
    <s v="Furniture"/>
    <n v="3457.28"/>
    <n v="3598.72"/>
    <x v="1"/>
    <n v="0.27"/>
    <s v="Bank Transfer"/>
    <x v="0"/>
    <s v="East-Bob"/>
    <n v="0.27"/>
    <n v="2634.4312999999997"/>
  </r>
  <r>
    <n v="1050"/>
    <d v="2023-06-01T00:00:00"/>
    <x v="0"/>
    <s v="South"/>
    <n v="5105.78"/>
    <n v="23"/>
    <s v="Furniture"/>
    <n v="3756.06"/>
    <n v="4255.7299999999996"/>
    <x v="0"/>
    <n v="0.04"/>
    <s v="Cash"/>
    <x v="0"/>
    <s v="South-Bob"/>
    <n v="0.04"/>
    <n v="4901.5487999999996"/>
  </r>
  <r>
    <n v="1035"/>
    <d v="2023-04-18T00:00:00"/>
    <x v="1"/>
    <s v="South"/>
    <n v="9417.1"/>
    <n v="34"/>
    <s v="Food"/>
    <n v="1105.05"/>
    <n v="1200.96"/>
    <x v="0"/>
    <n v="0.19"/>
    <s v="Cash"/>
    <x v="0"/>
    <s v="South-David"/>
    <n v="0.19"/>
    <n v="7627.8510000000006"/>
  </r>
  <r>
    <n v="1033"/>
    <d v="2023-07-07T00:00:00"/>
    <x v="3"/>
    <s v="East"/>
    <n v="8775.56"/>
    <n v="13"/>
    <s v="Food"/>
    <n v="4342.53"/>
    <n v="4357.49"/>
    <x v="1"/>
    <n v="0.08"/>
    <s v="Bank Transfer"/>
    <x v="0"/>
    <s v="East-Eve"/>
    <n v="0.08"/>
    <n v="8073.5151999999998"/>
  </r>
  <r>
    <n v="1033"/>
    <d v="2023-10-28T00:00:00"/>
    <x v="1"/>
    <s v="North"/>
    <n v="1115.42"/>
    <n v="43"/>
    <s v="Clothing"/>
    <n v="4781.42"/>
    <n v="4864.34"/>
    <x v="0"/>
    <n v="0.25"/>
    <s v="Bank Transfer"/>
    <x v="0"/>
    <s v="North-David"/>
    <n v="0.25"/>
    <n v="836.56500000000005"/>
  </r>
  <r>
    <n v="1061"/>
    <d v="2023-04-08T00:00:00"/>
    <x v="2"/>
    <s v="East"/>
    <n v="3988.03"/>
    <n v="29"/>
    <s v="Clothing"/>
    <n v="1221.74"/>
    <n v="1611.92"/>
    <x v="1"/>
    <n v="0.15"/>
    <s v="Cash"/>
    <x v="1"/>
    <s v="East-Charlie"/>
    <n v="0.15"/>
    <n v="3389.8254999999999"/>
  </r>
  <r>
    <n v="1051"/>
    <d v="2023-05-11T00:00:00"/>
    <x v="0"/>
    <s v="North"/>
    <n v="5578.37"/>
    <n v="36"/>
    <s v="Food"/>
    <n v="4418.95"/>
    <n v="4647.87"/>
    <x v="1"/>
    <n v="0.04"/>
    <s v="Bank Transfer"/>
    <x v="0"/>
    <s v="North-Bob"/>
    <n v="0.04"/>
    <n v="5355.2352000000001"/>
  </r>
  <r>
    <n v="1043"/>
    <d v="2023-10-20T00:00:00"/>
    <x v="2"/>
    <s v="South"/>
    <n v="5081.01"/>
    <n v="22"/>
    <s v="Food"/>
    <n v="530.04"/>
    <n v="759.31999999999903"/>
    <x v="0"/>
    <n v="0.17"/>
    <s v="Bank Transfer"/>
    <x v="1"/>
    <s v="South-Charlie"/>
    <n v="0.17"/>
    <n v="4217.2383"/>
  </r>
  <r>
    <n v="1012"/>
    <d v="2023-06-20T00:00:00"/>
    <x v="4"/>
    <s v="South"/>
    <n v="2019.24"/>
    <n v="47"/>
    <s v="Clothing"/>
    <n v="325.75"/>
    <n v="803.71"/>
    <x v="1"/>
    <n v="0.12"/>
    <s v="Bank Transfer"/>
    <x v="1"/>
    <s v="South-Alice"/>
    <n v="0.12"/>
    <n v="1776.9312"/>
  </r>
  <r>
    <n v="1067"/>
    <d v="2023-07-02T00:00:00"/>
    <x v="4"/>
    <s v="North"/>
    <n v="8602.2900000000009"/>
    <n v="36"/>
    <s v="Electronics"/>
    <n v="689.66"/>
    <n v="1150.28"/>
    <x v="1"/>
    <n v="0.2"/>
    <s v="Bank Transfer"/>
    <x v="0"/>
    <s v="North-Alice"/>
    <n v="0.2"/>
    <n v="6881.8320000000012"/>
  </r>
  <r>
    <n v="1065"/>
    <d v="2023-12-30T00:00:00"/>
    <x v="1"/>
    <s v="South"/>
    <n v="6801.71"/>
    <n v="9"/>
    <s v="Clothing"/>
    <n v="335.82"/>
    <n v="498.31"/>
    <x v="1"/>
    <n v="0.26"/>
    <s v="Cash"/>
    <x v="1"/>
    <s v="South-David"/>
    <n v="0.26"/>
    <n v="5033.2654000000002"/>
  </r>
  <r>
    <n v="1033"/>
    <d v="2023-02-08T00:00:00"/>
    <x v="3"/>
    <s v="North"/>
    <n v="8395.2900000000009"/>
    <n v="39"/>
    <s v="Electronics"/>
    <n v="4232.8100000000004"/>
    <n v="4345.25"/>
    <x v="0"/>
    <n v="0.12"/>
    <s v="Bank Transfer"/>
    <x v="0"/>
    <s v="North-Eve"/>
    <n v="0.12"/>
    <n v="7387.8552000000009"/>
  </r>
  <r>
    <n v="1040"/>
    <d v="2023-01-15T00:00:00"/>
    <x v="2"/>
    <s v="North"/>
    <n v="8601.77"/>
    <n v="19"/>
    <s v="Furniture"/>
    <n v="342.3"/>
    <n v="768.06"/>
    <x v="0"/>
    <n v="0.09"/>
    <s v="Credit Card"/>
    <x v="0"/>
    <s v="North-Charlie"/>
    <n v="0.09"/>
    <n v="7827.6107000000011"/>
  </r>
  <r>
    <n v="1074"/>
    <d v="2023-01-04T00:00:00"/>
    <x v="3"/>
    <s v="South"/>
    <n v="7508.72"/>
    <n v="38"/>
    <s v="Furniture"/>
    <n v="1394.74"/>
    <n v="1848.69"/>
    <x v="0"/>
    <n v="0"/>
    <s v="Bank Transfer"/>
    <x v="1"/>
    <s v="South-Eve"/>
    <n v="0"/>
    <n v="7508.72"/>
  </r>
  <r>
    <n v="1043"/>
    <d v="2023-12-15T00:00:00"/>
    <x v="1"/>
    <s v="West"/>
    <n v="4448.18"/>
    <n v="6"/>
    <s v="Clothing"/>
    <n v="563.59"/>
    <n v="838.97"/>
    <x v="1"/>
    <n v="0.17"/>
    <s v="Credit Card"/>
    <x v="0"/>
    <s v="West-David"/>
    <n v="0.17"/>
    <n v="3691.9893999999999"/>
  </r>
  <r>
    <n v="1044"/>
    <d v="2023-07-29T00:00:00"/>
    <x v="4"/>
    <s v="North"/>
    <n v="6144.41"/>
    <n v="47"/>
    <s v="Electronics"/>
    <n v="1512.34"/>
    <n v="1830.76"/>
    <x v="1"/>
    <n v="0.12"/>
    <s v="Bank Transfer"/>
    <x v="0"/>
    <s v="North-Alice"/>
    <n v="0.12"/>
    <n v="5407.0807999999997"/>
  </r>
  <r>
    <n v="1029"/>
    <d v="2023-06-10T00:00:00"/>
    <x v="3"/>
    <s v="East"/>
    <n v="1687.62"/>
    <n v="15"/>
    <s v="Clothing"/>
    <n v="498.27"/>
    <n v="634.16"/>
    <x v="0"/>
    <n v="0.11"/>
    <s v="Credit Card"/>
    <x v="1"/>
    <s v="East-Eve"/>
    <n v="0.11"/>
    <n v="1501.9818"/>
  </r>
  <r>
    <n v="1013"/>
    <d v="2023-01-16T00:00:00"/>
    <x v="3"/>
    <s v="East"/>
    <n v="6769.09"/>
    <n v="20"/>
    <s v="Clothing"/>
    <n v="3356.62"/>
    <n v="3759.0099999999902"/>
    <x v="0"/>
    <n v="0.05"/>
    <s v="Credit Card"/>
    <x v="1"/>
    <s v="East-Eve"/>
    <n v="0.05"/>
    <n v="6430.6354999999994"/>
  </r>
  <r>
    <n v="1012"/>
    <d v="2023-04-18T00:00:00"/>
    <x v="4"/>
    <s v="South"/>
    <n v="1874.61"/>
    <n v="9"/>
    <s v="Electronics"/>
    <n v="709.97"/>
    <n v="1029.71"/>
    <x v="0"/>
    <n v="0.13"/>
    <s v="Bank Transfer"/>
    <x v="1"/>
    <s v="South-Alice"/>
    <n v="0.13"/>
    <n v="1630.9106999999999"/>
  </r>
  <r>
    <n v="1095"/>
    <d v="2023-11-07T00:00:00"/>
    <x v="2"/>
    <s v="West"/>
    <n v="6970.1"/>
    <n v="32"/>
    <s v="Clothing"/>
    <n v="4266.6400000000003"/>
    <n v="4523.3599999999997"/>
    <x v="1"/>
    <n v="0.3"/>
    <s v="Bank Transfer"/>
    <x v="1"/>
    <s v="West-Charlie"/>
    <n v="0.3"/>
    <n v="4879.07"/>
  </r>
  <r>
    <n v="1046"/>
    <d v="2023-08-15T00:00:00"/>
    <x v="4"/>
    <s v="South"/>
    <n v="2373.02"/>
    <n v="4"/>
    <s v="Furniture"/>
    <n v="4095.1"/>
    <n v="4134.55"/>
    <x v="0"/>
    <n v="0.09"/>
    <s v="Bank Transfer"/>
    <x v="1"/>
    <s v="South-Alice"/>
    <n v="0.09"/>
    <n v="2159.4482000000003"/>
  </r>
  <r>
    <n v="1002"/>
    <d v="2023-06-19T00:00:00"/>
    <x v="3"/>
    <s v="West"/>
    <n v="1263.76"/>
    <n v="18"/>
    <s v="Food"/>
    <n v="117.63"/>
    <n v="576.44000000000005"/>
    <x v="1"/>
    <n v="0.18"/>
    <s v="Credit Card"/>
    <x v="1"/>
    <s v="West-Eve"/>
    <n v="0.18"/>
    <n v="1036.2832000000001"/>
  </r>
  <r>
    <n v="1035"/>
    <d v="2023-02-03T00:00:00"/>
    <x v="2"/>
    <s v="North"/>
    <n v="1736.32"/>
    <n v="5"/>
    <s v="Food"/>
    <n v="4483.8500000000004"/>
    <n v="4795.42"/>
    <x v="0"/>
    <n v="0.23"/>
    <s v="Cash"/>
    <x v="0"/>
    <s v="North-Charlie"/>
    <n v="0.23"/>
    <n v="1336.9664"/>
  </r>
  <r>
    <n v="1087"/>
    <d v="2023-09-08T00:00:00"/>
    <x v="2"/>
    <s v="North"/>
    <n v="119.72"/>
    <n v="20"/>
    <s v="Clothing"/>
    <n v="193.27"/>
    <n v="297.69"/>
    <x v="1"/>
    <n v="0.22"/>
    <s v="Cash"/>
    <x v="0"/>
    <s v="North-Charlie"/>
    <n v="0.22"/>
    <n v="93.381600000000006"/>
  </r>
  <r>
    <n v="1081"/>
    <d v="2023-09-04T00:00:00"/>
    <x v="4"/>
    <s v="North"/>
    <n v="7215.52"/>
    <n v="23"/>
    <s v="Electronics"/>
    <n v="1236.25"/>
    <n v="1543.38"/>
    <x v="1"/>
    <n v="0.1"/>
    <s v="Bank Transfer"/>
    <x v="0"/>
    <s v="North-Alice"/>
    <n v="0.1"/>
    <n v="6493.9680000000008"/>
  </r>
  <r>
    <n v="1090"/>
    <d v="2023-09-26T00:00:00"/>
    <x v="3"/>
    <s v="North"/>
    <n v="7350.77"/>
    <n v="11"/>
    <s v="Electronics"/>
    <n v="210.33"/>
    <n v="552.29"/>
    <x v="0"/>
    <n v="0.18"/>
    <s v="Cash"/>
    <x v="1"/>
    <s v="North-Eve"/>
    <n v="0.18"/>
    <n v="6027.6314000000011"/>
  </r>
  <r>
    <n v="1008"/>
    <d v="2023-05-21T00:00:00"/>
    <x v="1"/>
    <s v="East"/>
    <n v="5197.84"/>
    <n v="37"/>
    <s v="Furniture"/>
    <n v="1712.43"/>
    <n v="1980.06"/>
    <x v="1"/>
    <n v="0.26"/>
    <s v="Cash"/>
    <x v="0"/>
    <s v="East-David"/>
    <n v="0.26"/>
    <n v="3846.4016000000001"/>
  </r>
  <r>
    <n v="1093"/>
    <d v="2023-10-01T00:00:00"/>
    <x v="3"/>
    <s v="East"/>
    <n v="1697.49"/>
    <n v="22"/>
    <s v="Electronics"/>
    <n v="2593.64"/>
    <n v="2955.5099999999902"/>
    <x v="0"/>
    <n v="0"/>
    <s v="Bank Transfer"/>
    <x v="1"/>
    <s v="East-Eve"/>
    <n v="0"/>
    <n v="1697.49"/>
  </r>
  <r>
    <n v="1026"/>
    <d v="2023-04-06T00:00:00"/>
    <x v="0"/>
    <s v="South"/>
    <n v="927.19"/>
    <n v="4"/>
    <s v="Electronics"/>
    <n v="3993.39"/>
    <n v="4288.3"/>
    <x v="1"/>
    <n v="0.13"/>
    <s v="Credit Card"/>
    <x v="0"/>
    <s v="South-Bob"/>
    <n v="0.13"/>
    <n v="806.65530000000001"/>
  </r>
  <r>
    <n v="1074"/>
    <d v="2023-08-15T00:00:00"/>
    <x v="1"/>
    <s v="West"/>
    <n v="289.38"/>
    <n v="29"/>
    <s v="Furniture"/>
    <n v="1723.01"/>
    <n v="2197.42"/>
    <x v="1"/>
    <n v="7.0000000000000007E-2"/>
    <s v="Bank Transfer"/>
    <x v="1"/>
    <s v="West-David"/>
    <n v="7.0000000000000007E-2"/>
    <n v="269.1234"/>
  </r>
  <r>
    <n v="1090"/>
    <d v="2023-02-08T00:00:00"/>
    <x v="2"/>
    <s v="North"/>
    <n v="1740.91"/>
    <n v="44"/>
    <s v="Clothing"/>
    <n v="3542.18"/>
    <n v="3578.49"/>
    <x v="0"/>
    <n v="0.12"/>
    <s v="Cash"/>
    <x v="0"/>
    <s v="North-Charlie"/>
    <n v="0.12"/>
    <n v="1532.0008"/>
  </r>
  <r>
    <n v="1034"/>
    <d v="2023-10-29T00:00:00"/>
    <x v="1"/>
    <s v="North"/>
    <n v="8919.4699999999993"/>
    <n v="34"/>
    <s v="Food"/>
    <n v="978.15"/>
    <n v="1040.21"/>
    <x v="1"/>
    <n v="0.12"/>
    <s v="Credit Card"/>
    <x v="1"/>
    <s v="North-David"/>
    <n v="0.12"/>
    <n v="7849.1335999999992"/>
  </r>
  <r>
    <n v="1007"/>
    <d v="2023-01-29T00:00:00"/>
    <x v="2"/>
    <s v="West"/>
    <n v="2491.21"/>
    <n v="13"/>
    <s v="Furniture"/>
    <n v="3765.46"/>
    <n v="3860.56"/>
    <x v="0"/>
    <n v="0.22"/>
    <s v="Cash"/>
    <x v="1"/>
    <s v="West-Charlie"/>
    <n v="0.22"/>
    <n v="1943.1438000000001"/>
  </r>
  <r>
    <n v="1068"/>
    <d v="2023-11-14T00:00:00"/>
    <x v="2"/>
    <s v="West"/>
    <n v="3607.29"/>
    <n v="42"/>
    <s v="Clothing"/>
    <n v="1218.18"/>
    <n v="1566.36"/>
    <x v="0"/>
    <n v="0.03"/>
    <s v="Credit Card"/>
    <x v="1"/>
    <s v="West-Charlie"/>
    <n v="0.03"/>
    <n v="3499.0713000000001"/>
  </r>
  <r>
    <n v="1058"/>
    <d v="2023-09-02T00:00:00"/>
    <x v="1"/>
    <s v="South"/>
    <n v="1142.92"/>
    <n v="9"/>
    <s v="Furniture"/>
    <n v="760.55"/>
    <n v="1086.8899999999901"/>
    <x v="0"/>
    <n v="0.15"/>
    <s v="Cash"/>
    <x v="1"/>
    <s v="South-David"/>
    <n v="0.15"/>
    <n v="971.48200000000008"/>
  </r>
  <r>
    <n v="1075"/>
    <d v="2023-08-24T00:00:00"/>
    <x v="2"/>
    <s v="West"/>
    <n v="2301.38"/>
    <n v="42"/>
    <s v="Clothing"/>
    <n v="967.77"/>
    <n v="1414.88"/>
    <x v="1"/>
    <n v="0.17"/>
    <s v="Bank Transfer"/>
    <x v="0"/>
    <s v="West-Charlie"/>
    <n v="0.17"/>
    <n v="1910.1454000000001"/>
  </r>
  <r>
    <n v="1029"/>
    <d v="2023-07-04T00:00:00"/>
    <x v="2"/>
    <s v="North"/>
    <n v="5240.32"/>
    <n v="31"/>
    <s v="Furniture"/>
    <n v="951.21"/>
    <n v="1320.32"/>
    <x v="1"/>
    <n v="0.15"/>
    <s v="Cash"/>
    <x v="0"/>
    <s v="North-Charlie"/>
    <n v="0.15"/>
    <n v="4454.2719999999999"/>
  </r>
  <r>
    <n v="1036"/>
    <d v="2023-09-29T00:00:00"/>
    <x v="0"/>
    <s v="North"/>
    <n v="6116.75"/>
    <n v="7"/>
    <s v="Clothing"/>
    <n v="2588.67"/>
    <n v="2847.76"/>
    <x v="1"/>
    <n v="0.22"/>
    <s v="Cash"/>
    <x v="1"/>
    <s v="North-Bob"/>
    <n v="0.22"/>
    <n v="4771.0650000000005"/>
  </r>
  <r>
    <n v="1089"/>
    <d v="2023-08-24T00:00:00"/>
    <x v="3"/>
    <s v="North"/>
    <n v="2528.9899999999998"/>
    <n v="4"/>
    <s v="Furniture"/>
    <n v="4231.75"/>
    <n v="4727.75"/>
    <x v="0"/>
    <n v="0.12"/>
    <s v="Credit Card"/>
    <x v="1"/>
    <s v="North-Eve"/>
    <n v="0.12"/>
    <n v="2225.5111999999999"/>
  </r>
  <r>
    <n v="1021"/>
    <d v="2023-08-27T00:00:00"/>
    <x v="3"/>
    <s v="North"/>
    <n v="671.55"/>
    <n v="19"/>
    <s v="Clothing"/>
    <n v="444.05"/>
    <n v="584.44000000000005"/>
    <x v="0"/>
    <n v="0.28000000000000003"/>
    <s v="Cash"/>
    <x v="1"/>
    <s v="North-Eve"/>
    <n v="0.28000000000000003"/>
    <n v="483.51599999999996"/>
  </r>
  <r>
    <n v="1036"/>
    <d v="2023-09-23T00:00:00"/>
    <x v="0"/>
    <s v="North"/>
    <n v="3971.23"/>
    <n v="42"/>
    <s v="Furniture"/>
    <n v="3549.43"/>
    <n v="3967.6899999999901"/>
    <x v="1"/>
    <n v="0.14000000000000001"/>
    <s v="Bank Transfer"/>
    <x v="0"/>
    <s v="North-Bob"/>
    <n v="0.14000000000000001"/>
    <n v="3415.2577999999999"/>
  </r>
  <r>
    <n v="1010"/>
    <d v="2023-12-25T00:00:00"/>
    <x v="1"/>
    <s v="South"/>
    <n v="2418.61"/>
    <n v="30"/>
    <s v="Food"/>
    <n v="3289.01"/>
    <n v="3508.14"/>
    <x v="1"/>
    <n v="0.17"/>
    <s v="Bank Transfer"/>
    <x v="1"/>
    <s v="South-David"/>
    <n v="0.17"/>
    <n v="2007.4463000000001"/>
  </r>
  <r>
    <n v="1073"/>
    <d v="2023-12-06T00:00:00"/>
    <x v="4"/>
    <s v="North"/>
    <n v="2273.58"/>
    <n v="31"/>
    <s v="Food"/>
    <n v="4368.97"/>
    <n v="4696.8500000000004"/>
    <x v="0"/>
    <n v="0.25"/>
    <s v="Bank Transfer"/>
    <x v="1"/>
    <s v="North-Alice"/>
    <n v="0.25"/>
    <n v="1705.1849999999999"/>
  </r>
  <r>
    <n v="1024"/>
    <d v="2023-03-06T00:00:00"/>
    <x v="4"/>
    <s v="South"/>
    <n v="9602.64"/>
    <n v="35"/>
    <s v="Electronics"/>
    <n v="1258.53"/>
    <n v="1624.8899999999901"/>
    <x v="1"/>
    <n v="0.08"/>
    <s v="Credit Card"/>
    <x v="0"/>
    <s v="South-Alice"/>
    <n v="0.08"/>
    <n v="8834.4287999999997"/>
  </r>
  <r>
    <n v="1064"/>
    <d v="2023-06-26T00:00:00"/>
    <x v="4"/>
    <s v="North"/>
    <n v="6201.37"/>
    <n v="21"/>
    <s v="Clothing"/>
    <n v="2278.04"/>
    <n v="2598.58"/>
    <x v="0"/>
    <n v="0.02"/>
    <s v="Credit Card"/>
    <x v="1"/>
    <s v="North-Alice"/>
    <n v="0.02"/>
    <n v="6077.3425999999999"/>
  </r>
  <r>
    <n v="1099"/>
    <d v="2023-01-03T00:00:00"/>
    <x v="0"/>
    <s v="East"/>
    <n v="5613.1"/>
    <n v="31"/>
    <s v="Furniture"/>
    <n v="4632.8500000000004"/>
    <n v="4711.7"/>
    <x v="1"/>
    <n v="0.21"/>
    <s v="Cash"/>
    <x v="1"/>
    <s v="East-Bob"/>
    <n v="0.21"/>
    <n v="4434.3490000000002"/>
  </r>
  <r>
    <n v="1049"/>
    <d v="2023-05-22T00:00:00"/>
    <x v="0"/>
    <s v="East"/>
    <n v="4216.17"/>
    <n v="19"/>
    <s v="Clothing"/>
    <n v="3316.97"/>
    <n v="3544.02"/>
    <x v="0"/>
    <n v="0.14000000000000001"/>
    <s v="Cash"/>
    <x v="0"/>
    <s v="East-Bob"/>
    <n v="0.14000000000000001"/>
    <n v="3625.9061999999999"/>
  </r>
  <r>
    <n v="1099"/>
    <d v="2023-06-07T00:00:00"/>
    <x v="2"/>
    <s v="East"/>
    <n v="4346.55"/>
    <n v="31"/>
    <s v="Food"/>
    <n v="1974.4"/>
    <n v="2259.5"/>
    <x v="1"/>
    <n v="0.27"/>
    <s v="Cash"/>
    <x v="1"/>
    <s v="East-Charlie"/>
    <n v="0.27"/>
    <n v="3172.9814999999999"/>
  </r>
  <r>
    <n v="1036"/>
    <d v="2023-11-20T00:00:00"/>
    <x v="4"/>
    <s v="East"/>
    <n v="5454.96"/>
    <n v="32"/>
    <s v="Clothing"/>
    <n v="700.49"/>
    <n v="1126.52"/>
    <x v="1"/>
    <n v="0.28999999999999998"/>
    <s v="Credit Card"/>
    <x v="1"/>
    <s v="East-Alice"/>
    <n v="0.28999999999999998"/>
    <n v="3873.0216"/>
  </r>
  <r>
    <n v="1082"/>
    <d v="2023-05-26T00:00:00"/>
    <x v="1"/>
    <s v="South"/>
    <n v="6994.66"/>
    <n v="2"/>
    <s v="Furniture"/>
    <n v="1349.3"/>
    <n v="1576.69"/>
    <x v="0"/>
    <n v="0.12"/>
    <s v="Credit Card"/>
    <x v="0"/>
    <s v="South-David"/>
    <n v="0.12"/>
    <n v="6155.3008"/>
  </r>
  <r>
    <n v="1096"/>
    <d v="2023-10-20T00:00:00"/>
    <x v="1"/>
    <s v="South"/>
    <n v="7051.25"/>
    <n v="10"/>
    <s v="Clothing"/>
    <n v="2927.02"/>
    <n v="3387.21"/>
    <x v="0"/>
    <n v="0.12"/>
    <s v="Cash"/>
    <x v="1"/>
    <s v="South-David"/>
    <n v="0.12"/>
    <n v="6205.1"/>
  </r>
  <r>
    <n v="1024"/>
    <d v="2023-06-02T00:00:00"/>
    <x v="4"/>
    <s v="West"/>
    <n v="1799.77"/>
    <n v="2"/>
    <s v="Furniture"/>
    <n v="3604.93"/>
    <n v="3830.71"/>
    <x v="0"/>
    <n v="0.12"/>
    <s v="Credit Card"/>
    <x v="0"/>
    <s v="West-Alice"/>
    <n v="0.12"/>
    <n v="1583.7976000000001"/>
  </r>
  <r>
    <n v="1023"/>
    <d v="2023-07-12T00:00:00"/>
    <x v="4"/>
    <s v="North"/>
    <n v="5051.12"/>
    <n v="2"/>
    <s v="Food"/>
    <n v="665.89"/>
    <n v="944.79"/>
    <x v="1"/>
    <n v="0.1"/>
    <s v="Credit Card"/>
    <x v="1"/>
    <s v="North-Alice"/>
    <n v="0.1"/>
    <n v="4546.0079999999998"/>
  </r>
  <r>
    <n v="1062"/>
    <d v="2023-03-14T00:00:00"/>
    <x v="4"/>
    <s v="East"/>
    <n v="4178.3900000000003"/>
    <n v="24"/>
    <s v="Food"/>
    <n v="3018.01"/>
    <n v="3418.19"/>
    <x v="0"/>
    <n v="0.23"/>
    <s v="Bank Transfer"/>
    <x v="1"/>
    <s v="East-Alice"/>
    <n v="0.23"/>
    <n v="3217.3603000000003"/>
  </r>
  <r>
    <n v="1096"/>
    <d v="2023-11-01T00:00:00"/>
    <x v="0"/>
    <s v="South"/>
    <n v="8718.2199999999993"/>
    <n v="17"/>
    <s v="Food"/>
    <n v="2774.24"/>
    <n v="3069.9399999999901"/>
    <x v="0"/>
    <n v="0.23"/>
    <s v="Bank Transfer"/>
    <x v="1"/>
    <s v="South-Bob"/>
    <n v="0.23"/>
    <n v="6713.0293999999994"/>
  </r>
  <r>
    <n v="1037"/>
    <d v="2023-12-10T00:00:00"/>
    <x v="0"/>
    <s v="North"/>
    <n v="6351.05"/>
    <n v="32"/>
    <s v="Electronics"/>
    <n v="2594.08"/>
    <n v="3074.59"/>
    <x v="1"/>
    <n v="0.14000000000000001"/>
    <s v="Cash"/>
    <x v="1"/>
    <s v="North-Bob"/>
    <n v="0.14000000000000001"/>
    <n v="5461.9030000000002"/>
  </r>
  <r>
    <n v="1012"/>
    <d v="2023-05-20T00:00:00"/>
    <x v="0"/>
    <s v="North"/>
    <n v="5371.79"/>
    <n v="16"/>
    <s v="Food"/>
    <n v="3466.11"/>
    <n v="3799.67"/>
    <x v="0"/>
    <n v="0.01"/>
    <s v="Cash"/>
    <x v="1"/>
    <s v="North-Bob"/>
    <n v="0.01"/>
    <n v="5318.0721000000003"/>
  </r>
  <r>
    <n v="1055"/>
    <d v="2023-07-06T00:00:00"/>
    <x v="3"/>
    <s v="South"/>
    <n v="1242.4100000000001"/>
    <n v="16"/>
    <s v="Clothing"/>
    <n v="4195.38"/>
    <n v="4461.51"/>
    <x v="0"/>
    <n v="0.09"/>
    <s v="Bank Transfer"/>
    <x v="0"/>
    <s v="South-Eve"/>
    <n v="0.09"/>
    <n v="1130.5931"/>
  </r>
  <r>
    <n v="1013"/>
    <d v="2023-10-20T00:00:00"/>
    <x v="1"/>
    <s v="East"/>
    <n v="6095.82"/>
    <n v="46"/>
    <s v="Electronics"/>
    <n v="1648.8"/>
    <n v="1670.36"/>
    <x v="0"/>
    <n v="0.09"/>
    <s v="Credit Card"/>
    <x v="1"/>
    <s v="East-David"/>
    <n v="0.09"/>
    <n v="5547.1962000000003"/>
  </r>
  <r>
    <n v="1023"/>
    <d v="2023-03-02T00:00:00"/>
    <x v="1"/>
    <s v="West"/>
    <n v="1260.32"/>
    <n v="39"/>
    <s v="Food"/>
    <n v="4450.6099999999997"/>
    <n v="4663.3399999999901"/>
    <x v="1"/>
    <n v="0.24"/>
    <s v="Cash"/>
    <x v="1"/>
    <s v="West-David"/>
    <n v="0.24"/>
    <n v="957.84319999999991"/>
  </r>
  <r>
    <n v="1089"/>
    <d v="2023-07-17T00:00:00"/>
    <x v="2"/>
    <s v="North"/>
    <n v="3438.35"/>
    <n v="31"/>
    <s v="Clothing"/>
    <n v="845.14"/>
    <n v="1001.77"/>
    <x v="1"/>
    <n v="0.03"/>
    <s v="Cash"/>
    <x v="0"/>
    <s v="North-Charlie"/>
    <n v="0.03"/>
    <n v="3335.1994999999997"/>
  </r>
  <r>
    <n v="1099"/>
    <d v="2023-10-22T00:00:00"/>
    <x v="0"/>
    <s v="West"/>
    <n v="1514.14"/>
    <n v="43"/>
    <s v="Clothing"/>
    <n v="906.47"/>
    <n v="1283.04"/>
    <x v="1"/>
    <n v="0.24"/>
    <s v="Cash"/>
    <x v="0"/>
    <s v="West-Bob"/>
    <n v="0.24"/>
    <n v="1150.7464"/>
  </r>
  <r>
    <n v="1030"/>
    <d v="2023-11-15T00:00:00"/>
    <x v="3"/>
    <s v="East"/>
    <n v="6951.53"/>
    <n v="24"/>
    <s v="Clothing"/>
    <n v="1370.52"/>
    <n v="1482.58"/>
    <x v="0"/>
    <n v="0.2"/>
    <s v="Credit Card"/>
    <x v="1"/>
    <s v="East-Eve"/>
    <n v="0.2"/>
    <n v="5561.2240000000002"/>
  </r>
  <r>
    <n v="1017"/>
    <d v="2023-10-29T00:00:00"/>
    <x v="3"/>
    <s v="East"/>
    <n v="2141.9"/>
    <n v="1"/>
    <s v="Furniture"/>
    <n v="641.67999999999995"/>
    <n v="752.24"/>
    <x v="1"/>
    <n v="0.22"/>
    <s v="Bank Transfer"/>
    <x v="0"/>
    <s v="East-Eve"/>
    <n v="0.22"/>
    <n v="1670.682"/>
  </r>
  <r>
    <n v="1062"/>
    <d v="2023-12-10T00:00:00"/>
    <x v="1"/>
    <s v="West"/>
    <n v="3979.41"/>
    <n v="11"/>
    <s v="Electronics"/>
    <n v="1190.08"/>
    <n v="1292.9399999999901"/>
    <x v="0"/>
    <n v="0.13"/>
    <s v="Cash"/>
    <x v="1"/>
    <s v="West-David"/>
    <n v="0.13"/>
    <n v="3462.0866999999998"/>
  </r>
  <r>
    <n v="1084"/>
    <d v="2023-01-11T00:00:00"/>
    <x v="0"/>
    <s v="East"/>
    <n v="8967.18"/>
    <n v="21"/>
    <s v="Clothing"/>
    <n v="576.74"/>
    <n v="648.29"/>
    <x v="0"/>
    <n v="0.2"/>
    <s v="Bank Transfer"/>
    <x v="0"/>
    <s v="East-Bob"/>
    <n v="0.2"/>
    <n v="7173.7440000000006"/>
  </r>
  <r>
    <n v="1089"/>
    <d v="2023-03-03T00:00:00"/>
    <x v="2"/>
    <s v="North"/>
    <n v="2122.73"/>
    <n v="4"/>
    <s v="Furniture"/>
    <n v="4117.67"/>
    <n v="4280.0600000000004"/>
    <x v="0"/>
    <n v="0.18"/>
    <s v="Bank Transfer"/>
    <x v="0"/>
    <s v="North-Charlie"/>
    <n v="0.18"/>
    <n v="1740.6386000000002"/>
  </r>
  <r>
    <n v="1086"/>
    <d v="2023-11-29T00:00:00"/>
    <x v="0"/>
    <s v="West"/>
    <n v="5127.2700000000004"/>
    <n v="7"/>
    <s v="Food"/>
    <n v="737.9"/>
    <n v="1182"/>
    <x v="1"/>
    <n v="0.23"/>
    <s v="Credit Card"/>
    <x v="1"/>
    <s v="West-Bob"/>
    <n v="0.23"/>
    <n v="3947.9979000000003"/>
  </r>
  <r>
    <n v="1013"/>
    <d v="2023-08-14T00:00:00"/>
    <x v="4"/>
    <s v="East"/>
    <n v="4250.79"/>
    <n v="26"/>
    <s v="Clothing"/>
    <n v="3749.12"/>
    <n v="4138.83"/>
    <x v="1"/>
    <n v="0.13"/>
    <s v="Credit Card"/>
    <x v="0"/>
    <s v="East-Alice"/>
    <n v="0.13"/>
    <n v="3698.1873000000001"/>
  </r>
  <r>
    <n v="1059"/>
    <d v="2023-06-02T00:00:00"/>
    <x v="0"/>
    <s v="West"/>
    <n v="279.43"/>
    <n v="47"/>
    <s v="Furniture"/>
    <n v="287.17"/>
    <n v="657.44"/>
    <x v="0"/>
    <n v="0.14000000000000001"/>
    <s v="Credit Card"/>
    <x v="1"/>
    <s v="West-Bob"/>
    <n v="0.14000000000000001"/>
    <n v="240.3098"/>
  </r>
  <r>
    <n v="1019"/>
    <d v="2023-07-18T00:00:00"/>
    <x v="4"/>
    <s v="North"/>
    <n v="7948.31"/>
    <n v="12"/>
    <s v="Clothing"/>
    <n v="4745.18"/>
    <n v="5145.88"/>
    <x v="0"/>
    <n v="0.19"/>
    <s v="Credit Card"/>
    <x v="0"/>
    <s v="North-Alice"/>
    <n v="0.19"/>
    <n v="6438.1311000000005"/>
  </r>
  <r>
    <n v="1049"/>
    <d v="2023-02-21T00:00:00"/>
    <x v="4"/>
    <s v="East"/>
    <n v="783.55"/>
    <n v="31"/>
    <s v="Electronics"/>
    <n v="3570.24"/>
    <n v="3712.25"/>
    <x v="1"/>
    <n v="0.03"/>
    <s v="Credit Card"/>
    <x v="0"/>
    <s v="East-Alice"/>
    <n v="0.03"/>
    <n v="760.04349999999988"/>
  </r>
  <r>
    <n v="1100"/>
    <d v="2023-09-17T00:00:00"/>
    <x v="2"/>
    <s v="North"/>
    <n v="4795.12"/>
    <n v="17"/>
    <s v="Electronics"/>
    <n v="83.64"/>
    <n v="528.49"/>
    <x v="1"/>
    <n v="0.13"/>
    <s v="Credit Card"/>
    <x v="0"/>
    <s v="North-Charlie"/>
    <n v="0.13"/>
    <n v="4171.7543999999998"/>
  </r>
  <r>
    <n v="1012"/>
    <d v="2023-02-28T00:00:00"/>
    <x v="1"/>
    <s v="East"/>
    <n v="5650.72"/>
    <n v="33"/>
    <s v="Food"/>
    <n v="3831.09"/>
    <n v="3908.37"/>
    <x v="1"/>
    <n v="0.28999999999999998"/>
    <s v="Cash"/>
    <x v="1"/>
    <s v="East-David"/>
    <n v="0.28999999999999998"/>
    <n v="4012.0111999999999"/>
  </r>
  <r>
    <n v="1061"/>
    <d v="2023-03-13T00:00:00"/>
    <x v="0"/>
    <s v="South"/>
    <n v="6321.42"/>
    <n v="11"/>
    <s v="Clothing"/>
    <n v="2594.71"/>
    <n v="2769.52"/>
    <x v="0"/>
    <n v="0.01"/>
    <s v="Bank Transfer"/>
    <x v="1"/>
    <s v="South-Bob"/>
    <n v="0.01"/>
    <n v="6258.2057999999997"/>
  </r>
  <r>
    <n v="1019"/>
    <d v="2023-05-28T00:00:00"/>
    <x v="4"/>
    <s v="East"/>
    <n v="6917.45"/>
    <n v="28"/>
    <s v="Furniture"/>
    <n v="3907.86"/>
    <n v="4205.37"/>
    <x v="1"/>
    <n v="0.09"/>
    <s v="Credit Card"/>
    <x v="0"/>
    <s v="East-Alice"/>
    <n v="0.09"/>
    <n v="6294.8795"/>
  </r>
  <r>
    <n v="1076"/>
    <d v="2023-12-15T00:00:00"/>
    <x v="0"/>
    <s v="West"/>
    <n v="2607.4"/>
    <n v="32"/>
    <s v="Food"/>
    <n v="2636.36"/>
    <n v="2696.78"/>
    <x v="1"/>
    <n v="0.09"/>
    <s v="Cash"/>
    <x v="1"/>
    <s v="West-Bob"/>
    <n v="0.09"/>
    <n v="2372.7340000000004"/>
  </r>
  <r>
    <n v="1009"/>
    <d v="2023-03-04T00:00:00"/>
    <x v="1"/>
    <s v="East"/>
    <n v="198.79"/>
    <n v="1"/>
    <s v="Clothing"/>
    <n v="3223.07"/>
    <n v="3590.83"/>
    <x v="1"/>
    <n v="0.19"/>
    <s v="Bank Transfer"/>
    <x v="1"/>
    <s v="East-David"/>
    <n v="0.19"/>
    <n v="161.01990000000001"/>
  </r>
  <r>
    <n v="1071"/>
    <d v="2023-11-06T00:00:00"/>
    <x v="1"/>
    <s v="North"/>
    <n v="7262.09"/>
    <n v="47"/>
    <s v="Food"/>
    <n v="3942.34"/>
    <n v="4142.09"/>
    <x v="0"/>
    <n v="0.03"/>
    <s v="Credit Card"/>
    <x v="1"/>
    <s v="North-David"/>
    <n v="0.03"/>
    <n v="7044.2272999999996"/>
  </r>
  <r>
    <n v="1028"/>
    <d v="2023-08-31T00:00:00"/>
    <x v="3"/>
    <s v="North"/>
    <n v="5403"/>
    <n v="28"/>
    <s v="Furniture"/>
    <n v="2055.2800000000002"/>
    <n v="2449.64"/>
    <x v="1"/>
    <n v="0.19"/>
    <s v="Credit Card"/>
    <x v="0"/>
    <s v="North-Eve"/>
    <n v="0.19"/>
    <n v="4376.43"/>
  </r>
  <r>
    <n v="1078"/>
    <d v="2024-01-01T00:00:00"/>
    <x v="1"/>
    <s v="East"/>
    <n v="8377.57"/>
    <n v="42"/>
    <s v="Food"/>
    <n v="63.41"/>
    <n v="314.93"/>
    <x v="0"/>
    <n v="0.03"/>
    <s v="Cash"/>
    <x v="1"/>
    <s v="East-David"/>
    <n v="0.03"/>
    <n v="8126.2428999999993"/>
  </r>
  <r>
    <n v="1095"/>
    <d v="2023-11-26T00:00:00"/>
    <x v="2"/>
    <s v="West"/>
    <n v="8231.74"/>
    <n v="7"/>
    <s v="Food"/>
    <n v="4257.24"/>
    <n v="4355.87"/>
    <x v="0"/>
    <n v="0.03"/>
    <s v="Bank Transfer"/>
    <x v="0"/>
    <s v="West-Charlie"/>
    <n v="0.03"/>
    <n v="7984.7877999999992"/>
  </r>
  <r>
    <n v="1052"/>
    <d v="2023-04-17T00:00:00"/>
    <x v="4"/>
    <s v="South"/>
    <n v="8448.93"/>
    <n v="2"/>
    <s v="Food"/>
    <n v="1935.41"/>
    <n v="2305.44"/>
    <x v="0"/>
    <n v="0.22"/>
    <s v="Credit Card"/>
    <x v="0"/>
    <s v="South-Alice"/>
    <n v="0.22"/>
    <n v="6590.1654000000008"/>
  </r>
  <r>
    <n v="1083"/>
    <d v="2023-08-14T00:00:00"/>
    <x v="3"/>
    <s v="West"/>
    <n v="4902.4399999999996"/>
    <n v="42"/>
    <s v="Clothing"/>
    <n v="2505.41"/>
    <n v="2638.96"/>
    <x v="1"/>
    <n v="0.1"/>
    <s v="Bank Transfer"/>
    <x v="0"/>
    <s v="West-Eve"/>
    <n v="0.1"/>
    <n v="4412.1959999999999"/>
  </r>
  <r>
    <n v="1016"/>
    <d v="2023-11-09T00:00:00"/>
    <x v="2"/>
    <s v="South"/>
    <n v="3402.92"/>
    <n v="24"/>
    <s v="Furniture"/>
    <n v="88.44"/>
    <n v="338.94"/>
    <x v="1"/>
    <n v="0.28999999999999998"/>
    <s v="Cash"/>
    <x v="0"/>
    <s v="South-Charlie"/>
    <n v="0.28999999999999998"/>
    <n v="2416.0731999999998"/>
  </r>
  <r>
    <n v="1069"/>
    <d v="2023-08-06T00:00:00"/>
    <x v="0"/>
    <s v="North"/>
    <n v="7936.43"/>
    <n v="4"/>
    <s v="Electronics"/>
    <n v="2485.86"/>
    <n v="2532.87"/>
    <x v="1"/>
    <n v="0.01"/>
    <s v="Credit Card"/>
    <x v="0"/>
    <s v="North-Bob"/>
    <n v="0.01"/>
    <n v="7857.0657000000001"/>
  </r>
  <r>
    <n v="1099"/>
    <d v="2023-08-29T00:00:00"/>
    <x v="4"/>
    <s v="West"/>
    <n v="4567.8100000000004"/>
    <n v="44"/>
    <s v="Clothing"/>
    <n v="4933.1099999999997"/>
    <n v="5245.86"/>
    <x v="0"/>
    <n v="0.13"/>
    <s v="Bank Transfer"/>
    <x v="1"/>
    <s v="West-Alice"/>
    <n v="0.13"/>
    <n v="3973.9947000000002"/>
  </r>
  <r>
    <n v="1012"/>
    <d v="2023-09-16T00:00:00"/>
    <x v="1"/>
    <s v="South"/>
    <n v="1916.08"/>
    <n v="19"/>
    <s v="Electronics"/>
    <n v="1427.42"/>
    <n v="1763.69"/>
    <x v="1"/>
    <n v="0.03"/>
    <s v="Cash"/>
    <x v="1"/>
    <s v="South-David"/>
    <n v="0.03"/>
    <n v="1858.5975999999998"/>
  </r>
  <r>
    <n v="1025"/>
    <d v="2023-09-19T00:00:00"/>
    <x v="4"/>
    <s v="East"/>
    <n v="8564.24"/>
    <n v="26"/>
    <s v="Electronics"/>
    <n v="2007.32"/>
    <n v="2202.87"/>
    <x v="0"/>
    <n v="0.11"/>
    <s v="Cash"/>
    <x v="0"/>
    <s v="East-Alice"/>
    <n v="0.11"/>
    <n v="7622.1736000000001"/>
  </r>
  <r>
    <n v="1052"/>
    <d v="2023-01-05T00:00:00"/>
    <x v="0"/>
    <s v="North"/>
    <n v="8837.34"/>
    <n v="11"/>
    <s v="Clothing"/>
    <n v="3451.59"/>
    <n v="3929.26"/>
    <x v="1"/>
    <n v="0.3"/>
    <s v="Credit Card"/>
    <x v="1"/>
    <s v="North-Bob"/>
    <n v="0.3"/>
    <n v="6186.1379999999999"/>
  </r>
  <r>
    <n v="1085"/>
    <d v="2023-09-18T00:00:00"/>
    <x v="3"/>
    <s v="East"/>
    <n v="4716.47"/>
    <n v="40"/>
    <s v="Clothing"/>
    <n v="4083.23"/>
    <n v="4521.57"/>
    <x v="1"/>
    <n v="0.27"/>
    <s v="Bank Transfer"/>
    <x v="1"/>
    <s v="East-Eve"/>
    <n v="0.27"/>
    <n v="3443.0230999999999"/>
  </r>
  <r>
    <n v="1100"/>
    <d v="2023-02-23T00:00:00"/>
    <x v="3"/>
    <s v="North"/>
    <n v="849.43"/>
    <n v="43"/>
    <s v="Furniture"/>
    <n v="2116.09"/>
    <n v="2472.98"/>
    <x v="1"/>
    <n v="0.01"/>
    <s v="Credit Card"/>
    <x v="1"/>
    <s v="North-Eve"/>
    <n v="0.01"/>
    <n v="840.9357"/>
  </r>
  <r>
    <n v="1053"/>
    <d v="2023-02-16T00:00:00"/>
    <x v="3"/>
    <s v="West"/>
    <n v="3939.48"/>
    <n v="11"/>
    <s v="Furniture"/>
    <n v="1582.86"/>
    <n v="1942.55"/>
    <x v="1"/>
    <n v="0.17"/>
    <s v="Credit Card"/>
    <x v="1"/>
    <s v="West-Eve"/>
    <n v="0.17"/>
    <n v="3269.7683999999999"/>
  </r>
  <r>
    <n v="1023"/>
    <d v="2023-08-03T00:00:00"/>
    <x v="1"/>
    <s v="West"/>
    <n v="8055.02"/>
    <n v="45"/>
    <s v="Food"/>
    <n v="4692.24"/>
    <n v="4825.92"/>
    <x v="0"/>
    <n v="0.19"/>
    <s v="Bank Transfer"/>
    <x v="1"/>
    <s v="West-David"/>
    <n v="0.19"/>
    <n v="6524.5662000000011"/>
  </r>
  <r>
    <n v="1016"/>
    <d v="2023-06-26T00:00:00"/>
    <x v="2"/>
    <s v="North"/>
    <n v="9027.56"/>
    <n v="3"/>
    <s v="Electronics"/>
    <n v="3401.87"/>
    <n v="3733.71"/>
    <x v="0"/>
    <n v="0.06"/>
    <s v="Bank Transfer"/>
    <x v="1"/>
    <s v="North-Charlie"/>
    <n v="0.06"/>
    <n v="8485.9063999999998"/>
  </r>
  <r>
    <n v="1057"/>
    <d v="2023-01-09T00:00:00"/>
    <x v="2"/>
    <s v="North"/>
    <n v="2114.38"/>
    <n v="12"/>
    <s v="Furniture"/>
    <n v="639.16"/>
    <n v="746.28"/>
    <x v="0"/>
    <n v="0.04"/>
    <s v="Bank Transfer"/>
    <x v="1"/>
    <s v="North-Charlie"/>
    <n v="0.04"/>
    <n v="2029.8048000000001"/>
  </r>
  <r>
    <n v="1039"/>
    <d v="2023-04-09T00:00:00"/>
    <x v="4"/>
    <s v="North"/>
    <n v="763.04"/>
    <n v="3"/>
    <s v="Food"/>
    <n v="391.19"/>
    <n v="471.75"/>
    <x v="0"/>
    <n v="0.27"/>
    <s v="Cash"/>
    <x v="0"/>
    <s v="North-Alice"/>
    <n v="0.27"/>
    <n v="557.01919999999996"/>
  </r>
  <r>
    <n v="1053"/>
    <d v="2023-01-20T00:00:00"/>
    <x v="1"/>
    <s v="West"/>
    <n v="8785.77"/>
    <n v="42"/>
    <s v="Furniture"/>
    <n v="2443.5700000000002"/>
    <n v="2943.31"/>
    <x v="1"/>
    <n v="0.28999999999999998"/>
    <s v="Cash"/>
    <x v="0"/>
    <s v="West-David"/>
    <n v="0.28999999999999998"/>
    <n v="6237.8967000000002"/>
  </r>
  <r>
    <n v="1042"/>
    <d v="2023-08-29T00:00:00"/>
    <x v="3"/>
    <s v="South"/>
    <n v="3955.11"/>
    <n v="27"/>
    <s v="Clothing"/>
    <n v="1139.45"/>
    <n v="1454.41"/>
    <x v="0"/>
    <n v="0.3"/>
    <s v="Bank Transfer"/>
    <x v="0"/>
    <s v="South-Eve"/>
    <n v="0.3"/>
    <n v="2768.5769999999998"/>
  </r>
  <r>
    <n v="1058"/>
    <d v="2023-03-02T00:00:00"/>
    <x v="3"/>
    <s v="East"/>
    <n v="5463.43"/>
    <n v="49"/>
    <s v="Furniture"/>
    <n v="1307.22"/>
    <n v="1528.4"/>
    <x v="0"/>
    <n v="0.24"/>
    <s v="Cash"/>
    <x v="1"/>
    <s v="East-Eve"/>
    <n v="0.24"/>
    <n v="4152.2067999999999"/>
  </r>
  <r>
    <n v="1039"/>
    <d v="2023-06-27T00:00:00"/>
    <x v="0"/>
    <s v="East"/>
    <n v="9683.85"/>
    <n v="2"/>
    <s v="Electronics"/>
    <n v="4394.58"/>
    <n v="4545.78"/>
    <x v="0"/>
    <n v="0.2"/>
    <s v="Credit Card"/>
    <x v="1"/>
    <s v="East-Bob"/>
    <n v="0.2"/>
    <n v="7747.0800000000008"/>
  </r>
  <r>
    <n v="1014"/>
    <d v="2023-12-04T00:00:00"/>
    <x v="0"/>
    <s v="West"/>
    <n v="758.99"/>
    <n v="49"/>
    <s v="Furniture"/>
    <n v="493.35"/>
    <n v="799.27"/>
    <x v="1"/>
    <n v="0.1"/>
    <s v="Bank Transfer"/>
    <x v="0"/>
    <s v="West-Bob"/>
    <n v="0.1"/>
    <n v="683.09100000000001"/>
  </r>
  <r>
    <n v="1095"/>
    <d v="2023-03-03T00:00:00"/>
    <x v="3"/>
    <s v="East"/>
    <n v="6518.35"/>
    <n v="16"/>
    <s v="Electronics"/>
    <n v="3591.05"/>
    <n v="3625.35"/>
    <x v="0"/>
    <n v="0.05"/>
    <s v="Credit Card"/>
    <x v="1"/>
    <s v="East-Eve"/>
    <n v="0.05"/>
    <n v="6192.4324999999999"/>
  </r>
  <r>
    <n v="1005"/>
    <d v="2023-05-25T00:00:00"/>
    <x v="3"/>
    <s v="North"/>
    <n v="833.64"/>
    <n v="2"/>
    <s v="Clothing"/>
    <n v="1392.15"/>
    <n v="1448.54"/>
    <x v="0"/>
    <n v="0.02"/>
    <s v="Bank Transfer"/>
    <x v="1"/>
    <s v="North-Eve"/>
    <n v="0.02"/>
    <n v="816.96719999999993"/>
  </r>
  <r>
    <n v="1035"/>
    <d v="2023-08-04T00:00:00"/>
    <x v="1"/>
    <s v="South"/>
    <n v="3817.14"/>
    <n v="30"/>
    <s v="Electronics"/>
    <n v="3813.62"/>
    <n v="3839.72"/>
    <x v="1"/>
    <n v="0.21"/>
    <s v="Credit Card"/>
    <x v="0"/>
    <s v="South-David"/>
    <n v="0.21"/>
    <n v="3015.5405999999998"/>
  </r>
  <r>
    <n v="1087"/>
    <d v="2023-01-03T00:00:00"/>
    <x v="2"/>
    <s v="East"/>
    <n v="8057.76"/>
    <n v="20"/>
    <s v="Furniture"/>
    <n v="3625.94"/>
    <n v="3880.53"/>
    <x v="1"/>
    <n v="0.24"/>
    <s v="Bank Transfer"/>
    <x v="0"/>
    <s v="East-Charlie"/>
    <n v="0.24"/>
    <n v="6123.8976000000002"/>
  </r>
  <r>
    <n v="1093"/>
    <d v="2023-06-09T00:00:00"/>
    <x v="0"/>
    <s v="South"/>
    <n v="4391.38"/>
    <n v="38"/>
    <s v="Food"/>
    <n v="86.59"/>
    <n v="390.89"/>
    <x v="0"/>
    <n v="0.25"/>
    <s v="Credit Card"/>
    <x v="0"/>
    <s v="South-Bob"/>
    <n v="0.25"/>
    <n v="3293.5349999999999"/>
  </r>
  <r>
    <n v="1075"/>
    <d v="2023-08-15T00:00:00"/>
    <x v="2"/>
    <s v="North"/>
    <n v="9972.11"/>
    <n v="28"/>
    <s v="Clothing"/>
    <n v="2570.2199999999998"/>
    <n v="2610.8399999999901"/>
    <x v="0"/>
    <n v="0.27"/>
    <s v="Bank Transfer"/>
    <x v="1"/>
    <s v="North-Charlie"/>
    <n v="0.27"/>
    <n v="7279.6403"/>
  </r>
  <r>
    <n v="1018"/>
    <d v="2023-09-26T00:00:00"/>
    <x v="1"/>
    <s v="East"/>
    <n v="5634.69"/>
    <n v="25"/>
    <s v="Furniture"/>
    <n v="739.63"/>
    <n v="1103.03"/>
    <x v="1"/>
    <n v="0.26"/>
    <s v="Bank Transfer"/>
    <x v="1"/>
    <s v="East-David"/>
    <n v="0.26"/>
    <n v="4169.6705999999995"/>
  </r>
  <r>
    <n v="1076"/>
    <d v="2023-04-30T00:00:00"/>
    <x v="3"/>
    <s v="West"/>
    <n v="3279.51"/>
    <n v="32"/>
    <s v="Clothing"/>
    <n v="4337.82"/>
    <n v="4460.71"/>
    <x v="0"/>
    <n v="0.3"/>
    <s v="Cash"/>
    <x v="1"/>
    <s v="West-Eve"/>
    <n v="0.3"/>
    <n v="2295.6570000000002"/>
  </r>
  <r>
    <n v="1009"/>
    <d v="2023-03-30T00:00:00"/>
    <x v="2"/>
    <s v="South"/>
    <n v="2279.1"/>
    <n v="10"/>
    <s v="Clothing"/>
    <n v="4364.3500000000004"/>
    <n v="4710.1000000000004"/>
    <x v="1"/>
    <n v="7.0000000000000007E-2"/>
    <s v="Credit Card"/>
    <x v="0"/>
    <s v="South-Charlie"/>
    <n v="7.0000000000000007E-2"/>
    <n v="2119.5629999999996"/>
  </r>
  <r>
    <n v="1074"/>
    <d v="2023-11-25T00:00:00"/>
    <x v="3"/>
    <s v="North"/>
    <n v="3570.15"/>
    <n v="42"/>
    <s v="Furniture"/>
    <n v="2120.81"/>
    <n v="2611.94"/>
    <x v="0"/>
    <n v="0.23"/>
    <s v="Cash"/>
    <x v="0"/>
    <s v="North-Eve"/>
    <n v="0.23"/>
    <n v="2749.0155"/>
  </r>
  <r>
    <n v="1058"/>
    <d v="2023-03-09T00:00:00"/>
    <x v="3"/>
    <s v="South"/>
    <n v="3788.08"/>
    <n v="40"/>
    <s v="Furniture"/>
    <n v="2249.7600000000002"/>
    <n v="2598.4"/>
    <x v="0"/>
    <n v="0.18"/>
    <s v="Credit Card"/>
    <x v="1"/>
    <s v="South-Eve"/>
    <n v="0.18"/>
    <n v="3106.2256000000002"/>
  </r>
  <r>
    <n v="1017"/>
    <d v="2023-12-23T00:00:00"/>
    <x v="4"/>
    <s v="East"/>
    <n v="780.27"/>
    <n v="33"/>
    <s v="Food"/>
    <n v="1551.25"/>
    <n v="1994.01"/>
    <x v="0"/>
    <n v="0.08"/>
    <s v="Cash"/>
    <x v="0"/>
    <s v="East-Alice"/>
    <n v="0.08"/>
    <n v="717.84839999999997"/>
  </r>
  <r>
    <n v="1007"/>
    <d v="2023-04-08T00:00:00"/>
    <x v="2"/>
    <s v="East"/>
    <n v="3758.78"/>
    <n v="13"/>
    <s v="Clothing"/>
    <n v="3597.2"/>
    <n v="4071.8199999999902"/>
    <x v="0"/>
    <n v="0.28999999999999998"/>
    <s v="Bank Transfer"/>
    <x v="0"/>
    <s v="East-Charlie"/>
    <n v="0.28999999999999998"/>
    <n v="2668.7338"/>
  </r>
  <r>
    <n v="1046"/>
    <d v="2023-09-24T00:00:00"/>
    <x v="2"/>
    <s v="West"/>
    <n v="4695.96"/>
    <n v="41"/>
    <s v="Clothing"/>
    <n v="1825.37"/>
    <n v="2073.88"/>
    <x v="0"/>
    <n v="0.27"/>
    <s v="Cash"/>
    <x v="1"/>
    <s v="West-Charlie"/>
    <n v="0.27"/>
    <n v="3428.0508"/>
  </r>
  <r>
    <n v="1013"/>
    <d v="2023-04-15T00:00:00"/>
    <x v="3"/>
    <s v="North"/>
    <n v="7255.1"/>
    <n v="42"/>
    <s v="Furniture"/>
    <n v="1375.57"/>
    <n v="1729.71"/>
    <x v="1"/>
    <n v="0.04"/>
    <s v="Cash"/>
    <x v="0"/>
    <s v="North-Eve"/>
    <n v="0.04"/>
    <n v="6964.8959999999997"/>
  </r>
  <r>
    <n v="1040"/>
    <d v="2023-11-19T00:00:00"/>
    <x v="1"/>
    <s v="North"/>
    <n v="6601.62"/>
    <n v="47"/>
    <s v="Electronics"/>
    <n v="2189.54"/>
    <n v="2617"/>
    <x v="1"/>
    <n v="0.01"/>
    <s v="Bank Transfer"/>
    <x v="0"/>
    <s v="North-David"/>
    <n v="0.01"/>
    <n v="6535.6037999999999"/>
  </r>
  <r>
    <n v="1042"/>
    <d v="2023-05-03T00:00:00"/>
    <x v="4"/>
    <s v="West"/>
    <n v="7116.78"/>
    <n v="37"/>
    <s v="Furniture"/>
    <n v="502.86"/>
    <n v="687.6"/>
    <x v="0"/>
    <n v="0.21"/>
    <s v="Cash"/>
    <x v="0"/>
    <s v="West-Alice"/>
    <n v="0.21"/>
    <n v="5622.2561999999998"/>
  </r>
  <r>
    <n v="1009"/>
    <d v="2023-01-29T00:00:00"/>
    <x v="3"/>
    <s v="West"/>
    <n v="182.8"/>
    <n v="16"/>
    <s v="Clothing"/>
    <n v="3745.69"/>
    <n v="3883.77"/>
    <x v="0"/>
    <n v="0.18"/>
    <s v="Bank Transfer"/>
    <x v="1"/>
    <s v="West-Eve"/>
    <n v="0.18"/>
    <n v="149.89600000000002"/>
  </r>
  <r>
    <n v="1050"/>
    <d v="2023-05-17T00:00:00"/>
    <x v="0"/>
    <s v="North"/>
    <n v="2254.91"/>
    <n v="45"/>
    <s v="Furniture"/>
    <n v="112.35"/>
    <n v="586.17999999999995"/>
    <x v="0"/>
    <n v="0.28000000000000003"/>
    <s v="Credit Card"/>
    <x v="1"/>
    <s v="North-Bob"/>
    <n v="0.28000000000000003"/>
    <n v="1623.5351999999998"/>
  </r>
  <r>
    <n v="1027"/>
    <d v="2023-07-14T00:00:00"/>
    <x v="0"/>
    <s v="South"/>
    <n v="6650.67"/>
    <n v="22"/>
    <s v="Food"/>
    <n v="3240.2"/>
    <n v="3606.0899999999901"/>
    <x v="1"/>
    <n v="7.0000000000000007E-2"/>
    <s v="Cash"/>
    <x v="0"/>
    <s v="South-Bob"/>
    <n v="7.0000000000000007E-2"/>
    <n v="6185.1230999999998"/>
  </r>
  <r>
    <n v="1066"/>
    <d v="2023-08-14T00:00:00"/>
    <x v="4"/>
    <s v="South"/>
    <n v="4891.49"/>
    <n v="20"/>
    <s v="Electronics"/>
    <n v="955.18"/>
    <n v="1072.82"/>
    <x v="1"/>
    <n v="0.03"/>
    <s v="Bank Transfer"/>
    <x v="1"/>
    <s v="South-Alice"/>
    <n v="0.03"/>
    <n v="4744.7452999999996"/>
  </r>
  <r>
    <n v="1005"/>
    <d v="2023-11-28T00:00:00"/>
    <x v="1"/>
    <s v="West"/>
    <n v="152.6"/>
    <n v="43"/>
    <s v="Furniture"/>
    <n v="1200.4000000000001"/>
    <n v="1430.45"/>
    <x v="1"/>
    <n v="0.08"/>
    <s v="Bank Transfer"/>
    <x v="1"/>
    <s v="West-David"/>
    <n v="0.08"/>
    <n v="140.392"/>
  </r>
  <r>
    <n v="1029"/>
    <d v="2023-06-19T00:00:00"/>
    <x v="3"/>
    <s v="South"/>
    <n v="8064.5"/>
    <n v="27"/>
    <s v="Food"/>
    <n v="3196.38"/>
    <n v="3596.64"/>
    <x v="1"/>
    <n v="0.01"/>
    <s v="Cash"/>
    <x v="1"/>
    <s v="South-Eve"/>
    <n v="0.01"/>
    <n v="7983.8549999999996"/>
  </r>
  <r>
    <n v="1037"/>
    <d v="2023-01-09T00:00:00"/>
    <x v="2"/>
    <s v="North"/>
    <n v="7750.81"/>
    <n v="41"/>
    <s v="Clothing"/>
    <n v="4965.07"/>
    <n v="5243.13"/>
    <x v="1"/>
    <n v="0.01"/>
    <s v="Credit Card"/>
    <x v="0"/>
    <s v="North-Charlie"/>
    <n v="0.01"/>
    <n v="7673.3019000000004"/>
  </r>
  <r>
    <n v="1038"/>
    <d v="2023-02-09T00:00:00"/>
    <x v="4"/>
    <s v="East"/>
    <n v="5529.35"/>
    <n v="16"/>
    <s v="Furniture"/>
    <n v="3899.7"/>
    <n v="4228.18"/>
    <x v="1"/>
    <n v="0.27"/>
    <s v="Cash"/>
    <x v="1"/>
    <s v="East-Alice"/>
    <n v="0.27"/>
    <n v="4036.4255000000003"/>
  </r>
  <r>
    <n v="1083"/>
    <d v="2023-01-25T00:00:00"/>
    <x v="1"/>
    <s v="East"/>
    <n v="757.99"/>
    <n v="34"/>
    <s v="Clothing"/>
    <n v="1167.9100000000001"/>
    <n v="1547.26"/>
    <x v="1"/>
    <n v="0.11"/>
    <s v="Bank Transfer"/>
    <x v="0"/>
    <s v="East-David"/>
    <n v="0.11"/>
    <n v="674.61109999999996"/>
  </r>
  <r>
    <n v="1008"/>
    <d v="2023-09-18T00:00:00"/>
    <x v="2"/>
    <s v="South"/>
    <n v="7688.5"/>
    <n v="32"/>
    <s v="Food"/>
    <n v="921.32"/>
    <n v="1236.0999999999999"/>
    <x v="1"/>
    <n v="0.12"/>
    <s v="Credit Card"/>
    <x v="0"/>
    <s v="South-Charlie"/>
    <n v="0.12"/>
    <n v="6765.88"/>
  </r>
  <r>
    <n v="1065"/>
    <d v="2023-08-14T00:00:00"/>
    <x v="0"/>
    <s v="West"/>
    <n v="5878.76"/>
    <n v="26"/>
    <s v="Clothing"/>
    <n v="4337.8500000000004"/>
    <n v="4612.49"/>
    <x v="0"/>
    <n v="0.01"/>
    <s v="Cash"/>
    <x v="1"/>
    <s v="West-Bob"/>
    <n v="0.01"/>
    <n v="5819.9724000000006"/>
  </r>
  <r>
    <n v="1086"/>
    <d v="2023-05-04T00:00:00"/>
    <x v="0"/>
    <s v="West"/>
    <n v="7841.4"/>
    <n v="25"/>
    <s v="Food"/>
    <n v="2248.71"/>
    <n v="2626.02"/>
    <x v="1"/>
    <n v="0.08"/>
    <s v="Bank Transfer"/>
    <x v="0"/>
    <s v="West-Bob"/>
    <n v="0.08"/>
    <n v="7214.0879999999997"/>
  </r>
  <r>
    <n v="1017"/>
    <d v="2023-02-07T00:00:00"/>
    <x v="2"/>
    <s v="West"/>
    <n v="7542.3"/>
    <n v="2"/>
    <s v="Food"/>
    <n v="728.41"/>
    <n v="1094.92"/>
    <x v="1"/>
    <n v="0.24"/>
    <s v="Cash"/>
    <x v="1"/>
    <s v="West-Charlie"/>
    <n v="0.24"/>
    <n v="5732.1480000000001"/>
  </r>
  <r>
    <n v="1071"/>
    <d v="2023-11-24T00:00:00"/>
    <x v="4"/>
    <s v="West"/>
    <n v="8049.72"/>
    <n v="12"/>
    <s v="Food"/>
    <n v="4317.95"/>
    <n v="4636.59"/>
    <x v="1"/>
    <n v="0.18"/>
    <s v="Credit Card"/>
    <x v="1"/>
    <s v="West-Alice"/>
    <n v="0.18"/>
    <n v="6600.7704000000003"/>
  </r>
  <r>
    <n v="1089"/>
    <d v="2023-09-08T00:00:00"/>
    <x v="0"/>
    <s v="West"/>
    <n v="5228.28"/>
    <n v="40"/>
    <s v="Furniture"/>
    <n v="4089.66"/>
    <n v="4275.96"/>
    <x v="1"/>
    <n v="0.23"/>
    <s v="Credit Card"/>
    <x v="0"/>
    <s v="West-Bob"/>
    <n v="0.23"/>
    <n v="4025.7755999999999"/>
  </r>
  <r>
    <n v="1045"/>
    <d v="2023-06-25T00:00:00"/>
    <x v="3"/>
    <s v="South"/>
    <n v="1489.21"/>
    <n v="9"/>
    <s v="Clothing"/>
    <n v="4920.34"/>
    <n v="5129.1899999999996"/>
    <x v="0"/>
    <n v="0.13"/>
    <s v="Credit Card"/>
    <x v="0"/>
    <s v="South-Eve"/>
    <n v="0.13"/>
    <n v="1295.6127000000001"/>
  </r>
  <r>
    <n v="1004"/>
    <d v="2023-03-31T00:00:00"/>
    <x v="2"/>
    <s v="East"/>
    <n v="6744.46"/>
    <n v="12"/>
    <s v="Clothing"/>
    <n v="4553.2299999999996"/>
    <n v="5038.74"/>
    <x v="1"/>
    <n v="0.09"/>
    <s v="Credit Card"/>
    <x v="1"/>
    <s v="East-Charlie"/>
    <n v="0.09"/>
    <n v="6137.4585999999999"/>
  </r>
  <r>
    <n v="1036"/>
    <d v="2023-02-06T00:00:00"/>
    <x v="2"/>
    <s v="East"/>
    <n v="6242.69"/>
    <n v="26"/>
    <s v="Electronics"/>
    <n v="4266.3599999999997"/>
    <n v="4331.4299999999903"/>
    <x v="0"/>
    <n v="0.14000000000000001"/>
    <s v="Credit Card"/>
    <x v="1"/>
    <s v="East-Charlie"/>
    <n v="0.14000000000000001"/>
    <n v="5368.7133999999996"/>
  </r>
  <r>
    <n v="1070"/>
    <d v="2023-11-12T00:00:00"/>
    <x v="0"/>
    <s v="South"/>
    <n v="7448.31"/>
    <n v="9"/>
    <s v="Electronics"/>
    <n v="310.24"/>
    <n v="451.81"/>
    <x v="0"/>
    <n v="0.1"/>
    <s v="Cash"/>
    <x v="1"/>
    <s v="South-Bob"/>
    <n v="0.1"/>
    <n v="6703.4790000000003"/>
  </r>
  <r>
    <n v="1031"/>
    <d v="2023-06-25T00:00:00"/>
    <x v="4"/>
    <s v="West"/>
    <n v="1781.82"/>
    <n v="10"/>
    <s v="Electronics"/>
    <n v="566.86"/>
    <n v="818.14"/>
    <x v="0"/>
    <n v="0.25"/>
    <s v="Credit Card"/>
    <x v="1"/>
    <s v="West-Alice"/>
    <n v="0.25"/>
    <n v="1336.365"/>
  </r>
  <r>
    <n v="1019"/>
    <d v="2023-10-11T00:00:00"/>
    <x v="3"/>
    <s v="South"/>
    <n v="2030.25"/>
    <n v="32"/>
    <s v="Electronics"/>
    <n v="2866.47"/>
    <n v="3286.47"/>
    <x v="1"/>
    <n v="0.09"/>
    <s v="Credit Card"/>
    <x v="0"/>
    <s v="South-Eve"/>
    <n v="0.09"/>
    <n v="1847.5275000000001"/>
  </r>
  <r>
    <n v="1061"/>
    <d v="2023-03-22T00:00:00"/>
    <x v="4"/>
    <s v="East"/>
    <n v="8915.0499999999993"/>
    <n v="34"/>
    <s v="Clothing"/>
    <n v="2680.82"/>
    <n v="2771.02"/>
    <x v="1"/>
    <n v="0.2"/>
    <s v="Bank Transfer"/>
    <x v="0"/>
    <s v="East-Alice"/>
    <n v="0.2"/>
    <n v="7132.04"/>
  </r>
  <r>
    <n v="1054"/>
    <d v="2023-04-24T00:00:00"/>
    <x v="1"/>
    <s v="North"/>
    <n v="7524.78"/>
    <n v="48"/>
    <s v="Food"/>
    <n v="2316.92"/>
    <n v="2462.63"/>
    <x v="1"/>
    <n v="0.04"/>
    <s v="Credit Card"/>
    <x v="0"/>
    <s v="North-David"/>
    <n v="0.04"/>
    <n v="7223.7887999999994"/>
  </r>
  <r>
    <n v="1039"/>
    <d v="2023-02-09T00:00:00"/>
    <x v="1"/>
    <s v="South"/>
    <n v="9091.4599999999991"/>
    <n v="20"/>
    <s v="Food"/>
    <n v="2014.11"/>
    <n v="2056.35"/>
    <x v="0"/>
    <n v="0.21"/>
    <s v="Bank Transfer"/>
    <x v="1"/>
    <s v="South-David"/>
    <n v="0.21"/>
    <n v="7182.2533999999996"/>
  </r>
  <r>
    <n v="1091"/>
    <d v="2023-10-28T00:00:00"/>
    <x v="0"/>
    <s v="West"/>
    <n v="7611.28"/>
    <n v="39"/>
    <s v="Furniture"/>
    <n v="2184.4899999999998"/>
    <n v="2540.4199999999901"/>
    <x v="0"/>
    <n v="0.27"/>
    <s v="Bank Transfer"/>
    <x v="0"/>
    <s v="West-Bob"/>
    <n v="0.27"/>
    <n v="5556.2343999999994"/>
  </r>
  <r>
    <n v="1074"/>
    <d v="2023-08-12T00:00:00"/>
    <x v="0"/>
    <s v="East"/>
    <n v="6011.84"/>
    <n v="2"/>
    <s v="Food"/>
    <n v="2868.02"/>
    <n v="2994.74"/>
    <x v="0"/>
    <n v="0.18"/>
    <s v="Bank Transfer"/>
    <x v="0"/>
    <s v="East-Bob"/>
    <n v="0.18"/>
    <n v="4929.7088000000003"/>
  </r>
  <r>
    <n v="1090"/>
    <d v="2023-11-14T00:00:00"/>
    <x v="0"/>
    <s v="East"/>
    <n v="6575.91"/>
    <n v="1"/>
    <s v="Clothing"/>
    <n v="60.28"/>
    <n v="260.73"/>
    <x v="0"/>
    <n v="0.17"/>
    <s v="Cash"/>
    <x v="0"/>
    <s v="East-Bob"/>
    <n v="0.17"/>
    <n v="5458.0052999999998"/>
  </r>
  <r>
    <n v="1019"/>
    <d v="2023-12-15T00:00:00"/>
    <x v="1"/>
    <s v="East"/>
    <n v="8902.3700000000008"/>
    <n v="36"/>
    <s v="Clothing"/>
    <n v="1340.51"/>
    <n v="1567.92"/>
    <x v="1"/>
    <n v="0.28999999999999998"/>
    <s v="Cash"/>
    <x v="0"/>
    <s v="East-David"/>
    <n v="0.28999999999999998"/>
    <n v="6320.6827000000003"/>
  </r>
  <r>
    <n v="1039"/>
    <d v="2023-04-25T00:00:00"/>
    <x v="4"/>
    <s v="East"/>
    <n v="5830.19"/>
    <n v="24"/>
    <s v="Clothing"/>
    <n v="2615.48"/>
    <n v="3062.22"/>
    <x v="1"/>
    <n v="0.19"/>
    <s v="Bank Transfer"/>
    <x v="1"/>
    <s v="East-Alice"/>
    <n v="0.19"/>
    <n v="4722.4539000000004"/>
  </r>
  <r>
    <n v="1067"/>
    <d v="2023-07-05T00:00:00"/>
    <x v="4"/>
    <s v="West"/>
    <n v="6360.67"/>
    <n v="27"/>
    <s v="Furniture"/>
    <n v="3624.97"/>
    <n v="3836.52"/>
    <x v="1"/>
    <n v="0.08"/>
    <s v="Cash"/>
    <x v="0"/>
    <s v="West-Alice"/>
    <n v="0.08"/>
    <n v="5851.8164000000006"/>
  </r>
  <r>
    <n v="1045"/>
    <d v="2023-11-19T00:00:00"/>
    <x v="0"/>
    <s v="North"/>
    <n v="1649.12"/>
    <n v="2"/>
    <s v="Electronics"/>
    <n v="912.08"/>
    <n v="993.24"/>
    <x v="0"/>
    <n v="0.09"/>
    <s v="Credit Card"/>
    <x v="0"/>
    <s v="North-Bob"/>
    <n v="0.09"/>
    <n v="1500.6992"/>
  </r>
  <r>
    <n v="1013"/>
    <d v="2023-02-25T00:00:00"/>
    <x v="3"/>
    <s v="East"/>
    <n v="4791.82"/>
    <n v="31"/>
    <s v="Food"/>
    <n v="2757.06"/>
    <n v="3023.97"/>
    <x v="0"/>
    <n v="0.21"/>
    <s v="Cash"/>
    <x v="0"/>
    <s v="East-Eve"/>
    <n v="0.21"/>
    <n v="3785.5378000000001"/>
  </r>
  <r>
    <n v="1092"/>
    <d v="2023-02-09T00:00:00"/>
    <x v="4"/>
    <s v="South"/>
    <n v="7192.33"/>
    <n v="14"/>
    <s v="Clothing"/>
    <n v="3586.58"/>
    <n v="4068.43"/>
    <x v="1"/>
    <n v="0.22"/>
    <s v="Credit Card"/>
    <x v="0"/>
    <s v="South-Alice"/>
    <n v="0.22"/>
    <n v="5610.0173999999997"/>
  </r>
  <r>
    <n v="1058"/>
    <d v="2023-12-20T00:00:00"/>
    <x v="1"/>
    <s v="North"/>
    <n v="2782.33"/>
    <n v="2"/>
    <s v="Clothing"/>
    <n v="2250.91"/>
    <n v="2558.6799999999998"/>
    <x v="1"/>
    <n v="0.09"/>
    <s v="Credit Card"/>
    <x v="1"/>
    <s v="North-David"/>
    <n v="0.09"/>
    <n v="2531.9203000000002"/>
  </r>
  <r>
    <n v="1020"/>
    <d v="2023-02-09T00:00:00"/>
    <x v="2"/>
    <s v="East"/>
    <n v="2102.3200000000002"/>
    <n v="29"/>
    <s v="Electronics"/>
    <n v="184.05"/>
    <n v="675.91"/>
    <x v="0"/>
    <n v="0.1"/>
    <s v="Cash"/>
    <x v="1"/>
    <s v="East-Charlie"/>
    <n v="0.1"/>
    <n v="1892.0880000000002"/>
  </r>
  <r>
    <n v="1092"/>
    <d v="2023-12-13T00:00:00"/>
    <x v="2"/>
    <s v="North"/>
    <n v="3206.89"/>
    <n v="15"/>
    <s v="Clothing"/>
    <n v="2273.88"/>
    <n v="2696.02"/>
    <x v="1"/>
    <n v="0.3"/>
    <s v="Cash"/>
    <x v="0"/>
    <s v="North-Charlie"/>
    <n v="0.3"/>
    <n v="2244.8229999999999"/>
  </r>
  <r>
    <n v="1072"/>
    <d v="2023-08-25T00:00:00"/>
    <x v="2"/>
    <s v="South"/>
    <n v="2490.86"/>
    <n v="12"/>
    <s v="Food"/>
    <n v="1517.4"/>
    <n v="1545.02"/>
    <x v="1"/>
    <n v="0.03"/>
    <s v="Bank Transfer"/>
    <x v="1"/>
    <s v="South-Charlie"/>
    <n v="0.03"/>
    <n v="2416.1342"/>
  </r>
  <r>
    <n v="1061"/>
    <d v="2023-10-16T00:00:00"/>
    <x v="3"/>
    <s v="East"/>
    <n v="2227.64"/>
    <n v="37"/>
    <s v="Furniture"/>
    <n v="4651.7700000000004"/>
    <n v="4984.3900000000003"/>
    <x v="0"/>
    <n v="0.12"/>
    <s v="Cash"/>
    <x v="1"/>
    <s v="East-Eve"/>
    <n v="0.12"/>
    <n v="1960.3231999999998"/>
  </r>
  <r>
    <n v="1039"/>
    <d v="2023-09-19T00:00:00"/>
    <x v="0"/>
    <s v="South"/>
    <n v="4306.0200000000004"/>
    <n v="28"/>
    <s v="Clothing"/>
    <n v="666.84"/>
    <n v="817.36"/>
    <x v="0"/>
    <n v="0.02"/>
    <s v="Cash"/>
    <x v="1"/>
    <s v="South-Bob"/>
    <n v="0.02"/>
    <n v="4219.8996000000006"/>
  </r>
  <r>
    <n v="1001"/>
    <d v="2023-08-04T00:00:00"/>
    <x v="1"/>
    <s v="West"/>
    <n v="9087.6"/>
    <n v="20"/>
    <s v="Food"/>
    <n v="3279.76"/>
    <n v="3563.97"/>
    <x v="0"/>
    <n v="0.25"/>
    <s v="Cash"/>
    <x v="1"/>
    <s v="West-David"/>
    <n v="0.25"/>
    <n v="6815.7000000000007"/>
  </r>
  <r>
    <n v="1003"/>
    <d v="2023-05-27T00:00:00"/>
    <x v="3"/>
    <s v="East"/>
    <n v="5119.8900000000003"/>
    <n v="39"/>
    <s v="Clothing"/>
    <n v="310.95999999999998"/>
    <n v="457.84"/>
    <x v="1"/>
    <n v="0.03"/>
    <s v="Credit Card"/>
    <x v="0"/>
    <s v="East-Eve"/>
    <n v="0.03"/>
    <n v="4966.2933000000003"/>
  </r>
  <r>
    <n v="1077"/>
    <d v="2023-12-02T00:00:00"/>
    <x v="1"/>
    <s v="East"/>
    <n v="1960.41"/>
    <n v="24"/>
    <s v="Electronics"/>
    <n v="2258.54"/>
    <n v="2439.4899999999998"/>
    <x v="0"/>
    <n v="0.2"/>
    <s v="Credit Card"/>
    <x v="1"/>
    <s v="East-David"/>
    <n v="0.2"/>
    <n v="1568.3280000000002"/>
  </r>
  <r>
    <n v="1092"/>
    <d v="2023-06-17T00:00:00"/>
    <x v="1"/>
    <s v="East"/>
    <n v="862.02"/>
    <n v="21"/>
    <s v="Clothing"/>
    <n v="2792.2"/>
    <n v="3254.5499999999902"/>
    <x v="1"/>
    <n v="0.02"/>
    <s v="Credit Card"/>
    <x v="1"/>
    <s v="East-David"/>
    <n v="0.02"/>
    <n v="844.77959999999996"/>
  </r>
  <r>
    <n v="1062"/>
    <d v="2023-04-02T00:00:00"/>
    <x v="0"/>
    <s v="East"/>
    <n v="6991.95"/>
    <n v="10"/>
    <s v="Clothing"/>
    <n v="1524.88"/>
    <n v="1636.14"/>
    <x v="1"/>
    <n v="0.2"/>
    <s v="Bank Transfer"/>
    <x v="0"/>
    <s v="East-Bob"/>
    <n v="0.2"/>
    <n v="5593.56"/>
  </r>
  <r>
    <n v="1063"/>
    <d v="2023-12-19T00:00:00"/>
    <x v="2"/>
    <s v="West"/>
    <n v="3889.71"/>
    <n v="46"/>
    <s v="Furniture"/>
    <n v="2302.62"/>
    <n v="2740.93"/>
    <x v="0"/>
    <n v="0.25"/>
    <s v="Bank Transfer"/>
    <x v="0"/>
    <s v="West-Charlie"/>
    <n v="0.25"/>
    <n v="2917.2825000000003"/>
  </r>
  <r>
    <n v="1025"/>
    <d v="2023-02-28T00:00:00"/>
    <x v="0"/>
    <s v="East"/>
    <n v="8236.1299999999992"/>
    <n v="14"/>
    <s v="Electronics"/>
    <n v="859.59"/>
    <n v="884.51"/>
    <x v="1"/>
    <n v="0.12"/>
    <s v="Bank Transfer"/>
    <x v="0"/>
    <s v="East-Bob"/>
    <n v="0.12"/>
    <n v="7247.7943999999998"/>
  </r>
  <r>
    <n v="1056"/>
    <d v="2023-02-28T00:00:00"/>
    <x v="3"/>
    <s v="North"/>
    <n v="6629.16"/>
    <n v="37"/>
    <s v="Electronics"/>
    <n v="1555.41"/>
    <n v="1609.94"/>
    <x v="0"/>
    <n v="0.16"/>
    <s v="Credit Card"/>
    <x v="0"/>
    <s v="North-Eve"/>
    <n v="0.16"/>
    <n v="5568.4943999999996"/>
  </r>
  <r>
    <n v="1033"/>
    <d v="2023-10-31T00:00:00"/>
    <x v="3"/>
    <s v="East"/>
    <n v="7982.79"/>
    <n v="18"/>
    <s v="Furniture"/>
    <n v="3124.48"/>
    <n v="3553.27"/>
    <x v="0"/>
    <n v="0.12"/>
    <s v="Cash"/>
    <x v="1"/>
    <s v="East-Eve"/>
    <n v="0.12"/>
    <n v="7024.8552"/>
  </r>
  <r>
    <n v="1038"/>
    <d v="2023-06-18T00:00:00"/>
    <x v="3"/>
    <s v="West"/>
    <n v="2792.27"/>
    <n v="24"/>
    <s v="Clothing"/>
    <n v="1543.91"/>
    <n v="1862.88"/>
    <x v="1"/>
    <n v="0.09"/>
    <s v="Bank Transfer"/>
    <x v="0"/>
    <s v="West-Eve"/>
    <n v="0.09"/>
    <n v="2540.9657000000002"/>
  </r>
  <r>
    <n v="1006"/>
    <d v="2023-09-26T00:00:00"/>
    <x v="0"/>
    <s v="East"/>
    <n v="6954.35"/>
    <n v="14"/>
    <s v="Food"/>
    <n v="4503.7299999999996"/>
    <n v="4879.8799999999901"/>
    <x v="1"/>
    <n v="0.24"/>
    <s v="Bank Transfer"/>
    <x v="1"/>
    <s v="East-Bob"/>
    <n v="0.24"/>
    <n v="5285.3060000000005"/>
  </r>
  <r>
    <n v="1058"/>
    <d v="2023-12-29T00:00:00"/>
    <x v="1"/>
    <s v="North"/>
    <n v="2714.21"/>
    <n v="34"/>
    <s v="Electronics"/>
    <n v="3160.61"/>
    <n v="3273.22"/>
    <x v="0"/>
    <n v="0.08"/>
    <s v="Credit Card"/>
    <x v="1"/>
    <s v="North-David"/>
    <n v="0.08"/>
    <n v="2497.0732000000003"/>
  </r>
  <r>
    <n v="1044"/>
    <d v="2023-02-14T00:00:00"/>
    <x v="1"/>
    <s v="West"/>
    <n v="9396.7800000000007"/>
    <n v="12"/>
    <s v="Electronics"/>
    <n v="2221.31"/>
    <n v="2494.48"/>
    <x v="0"/>
    <n v="0.22"/>
    <s v="Bank Transfer"/>
    <x v="0"/>
    <s v="West-David"/>
    <n v="0.22"/>
    <n v="7329.4884000000011"/>
  </r>
  <r>
    <n v="1045"/>
    <d v="2023-12-11T00:00:00"/>
    <x v="4"/>
    <s v="West"/>
    <n v="6400.11"/>
    <n v="22"/>
    <s v="Clothing"/>
    <n v="241.85"/>
    <n v="613.09"/>
    <x v="0"/>
    <n v="0.06"/>
    <s v="Cash"/>
    <x v="0"/>
    <s v="West-Alice"/>
    <n v="0.06"/>
    <n v="6016.1033999999991"/>
  </r>
  <r>
    <n v="1032"/>
    <d v="2023-06-30T00:00:00"/>
    <x v="3"/>
    <s v="North"/>
    <n v="3312.67"/>
    <n v="6"/>
    <s v="Clothing"/>
    <n v="2522.7600000000002"/>
    <n v="2840.14"/>
    <x v="0"/>
    <n v="7.0000000000000007E-2"/>
    <s v="Credit Card"/>
    <x v="1"/>
    <s v="North-Eve"/>
    <n v="7.0000000000000007E-2"/>
    <n v="3080.7830999999996"/>
  </r>
  <r>
    <n v="1045"/>
    <d v="2023-06-19T00:00:00"/>
    <x v="1"/>
    <s v="North"/>
    <n v="2768.17"/>
    <n v="36"/>
    <s v="Electronics"/>
    <n v="3835.64"/>
    <n v="4076.77"/>
    <x v="0"/>
    <n v="0.1"/>
    <s v="Credit Card"/>
    <x v="1"/>
    <s v="North-David"/>
    <n v="0.1"/>
    <n v="2491.3530000000001"/>
  </r>
  <r>
    <n v="1061"/>
    <d v="2023-12-22T00:00:00"/>
    <x v="4"/>
    <s v="North"/>
    <n v="1990.17"/>
    <n v="45"/>
    <s v="Clothing"/>
    <n v="1364.51"/>
    <n v="1844.8"/>
    <x v="0"/>
    <n v="0.18"/>
    <s v="Cash"/>
    <x v="0"/>
    <s v="North-Alice"/>
    <n v="0.18"/>
    <n v="1631.9394000000002"/>
  </r>
  <r>
    <n v="1047"/>
    <d v="2023-07-10T00:00:00"/>
    <x v="1"/>
    <s v="North"/>
    <n v="6976.95"/>
    <n v="36"/>
    <s v="Food"/>
    <n v="4043.53"/>
    <n v="4384.8500000000004"/>
    <x v="1"/>
    <n v="0.14000000000000001"/>
    <s v="Cash"/>
    <x v="0"/>
    <s v="North-David"/>
    <n v="0.14000000000000001"/>
    <n v="6000.1769999999997"/>
  </r>
  <r>
    <n v="1021"/>
    <d v="2023-06-04T00:00:00"/>
    <x v="3"/>
    <s v="North"/>
    <n v="2265.2800000000002"/>
    <n v="22"/>
    <s v="Electronics"/>
    <n v="1296.44"/>
    <n v="1751.24"/>
    <x v="1"/>
    <n v="0.22"/>
    <s v="Cash"/>
    <x v="0"/>
    <s v="North-Eve"/>
    <n v="0.22"/>
    <n v="1766.9184000000002"/>
  </r>
  <r>
    <n v="1080"/>
    <d v="2023-07-07T00:00:00"/>
    <x v="2"/>
    <s v="West"/>
    <n v="5993.5"/>
    <n v="14"/>
    <s v="Food"/>
    <n v="4127.54"/>
    <n v="4495.13"/>
    <x v="1"/>
    <n v="0.06"/>
    <s v="Bank Transfer"/>
    <x v="1"/>
    <s v="West-Charlie"/>
    <n v="0.06"/>
    <n v="5633.8899999999994"/>
  </r>
  <r>
    <n v="1085"/>
    <d v="2023-01-07T00:00:00"/>
    <x v="3"/>
    <s v="West"/>
    <n v="2719.89"/>
    <n v="16"/>
    <s v="Food"/>
    <n v="472.08"/>
    <n v="842.46"/>
    <x v="1"/>
    <n v="0"/>
    <s v="Cash"/>
    <x v="1"/>
    <s v="West-Eve"/>
    <n v="0"/>
    <n v="2719.89"/>
  </r>
  <r>
    <n v="1075"/>
    <d v="2023-05-13T00:00:00"/>
    <x v="0"/>
    <s v="East"/>
    <n v="6653.49"/>
    <n v="36"/>
    <s v="Clothing"/>
    <n v="4337.6099999999997"/>
    <n v="4386.82"/>
    <x v="0"/>
    <n v="0.23"/>
    <s v="Credit Card"/>
    <x v="0"/>
    <s v="East-Bob"/>
    <n v="0.23"/>
    <n v="5123.1872999999996"/>
  </r>
  <r>
    <n v="1036"/>
    <d v="2023-08-23T00:00:00"/>
    <x v="1"/>
    <s v="East"/>
    <n v="8167.9"/>
    <n v="25"/>
    <s v="Food"/>
    <n v="2520.9699999999998"/>
    <n v="2707.1099999999901"/>
    <x v="1"/>
    <n v="0.25"/>
    <s v="Cash"/>
    <x v="1"/>
    <s v="East-David"/>
    <n v="0.25"/>
    <n v="6125.9249999999993"/>
  </r>
  <r>
    <n v="1099"/>
    <d v="2023-02-14T00:00:00"/>
    <x v="1"/>
    <s v="South"/>
    <n v="7802.45"/>
    <n v="32"/>
    <s v="Clothing"/>
    <n v="1517.86"/>
    <n v="1948.46"/>
    <x v="1"/>
    <n v="0.02"/>
    <s v="Credit Card"/>
    <x v="0"/>
    <s v="South-David"/>
    <n v="0.02"/>
    <n v="7646.4009999999998"/>
  </r>
  <r>
    <n v="1019"/>
    <d v="2023-11-10T00:00:00"/>
    <x v="0"/>
    <s v="East"/>
    <n v="7632.43"/>
    <n v="33"/>
    <s v="Furniture"/>
    <n v="1362.31"/>
    <n v="1486.29"/>
    <x v="0"/>
    <n v="0.18"/>
    <s v="Credit Card"/>
    <x v="1"/>
    <s v="East-Bob"/>
    <n v="0.18"/>
    <n v="6258.5926000000009"/>
  </r>
  <r>
    <n v="1020"/>
    <d v="2023-09-06T00:00:00"/>
    <x v="0"/>
    <s v="East"/>
    <n v="1958.45"/>
    <n v="45"/>
    <s v="Clothing"/>
    <n v="2188.4499999999998"/>
    <n v="2255.0499999999902"/>
    <x v="1"/>
    <n v="0.11"/>
    <s v="Bank Transfer"/>
    <x v="1"/>
    <s v="East-Bob"/>
    <n v="0.11"/>
    <n v="1743.0205000000001"/>
  </r>
  <r>
    <n v="1057"/>
    <d v="2023-01-31T00:00:00"/>
    <x v="2"/>
    <s v="North"/>
    <n v="975.01"/>
    <n v="36"/>
    <s v="Food"/>
    <n v="4995.3"/>
    <n v="5165.09"/>
    <x v="0"/>
    <n v="0.24"/>
    <s v="Cash"/>
    <x v="0"/>
    <s v="North-Charlie"/>
    <n v="0.24"/>
    <n v="741.00760000000002"/>
  </r>
  <r>
    <n v="1018"/>
    <d v="2023-01-23T00:00:00"/>
    <x v="1"/>
    <s v="North"/>
    <n v="7019.59"/>
    <n v="20"/>
    <s v="Furniture"/>
    <n v="1140.6199999999999"/>
    <n v="1258.6299999999901"/>
    <x v="0"/>
    <n v="0.26"/>
    <s v="Bank Transfer"/>
    <x v="0"/>
    <s v="North-David"/>
    <n v="0.26"/>
    <n v="5194.4966000000004"/>
  </r>
  <r>
    <n v="1047"/>
    <d v="2023-06-09T00:00:00"/>
    <x v="1"/>
    <s v="East"/>
    <n v="3746.64"/>
    <n v="18"/>
    <s v="Clothing"/>
    <n v="560.91999999999996"/>
    <n v="1024.31"/>
    <x v="0"/>
    <n v="0.26"/>
    <s v="Cash"/>
    <x v="0"/>
    <s v="East-David"/>
    <n v="0.26"/>
    <n v="2772.5135999999998"/>
  </r>
  <r>
    <n v="1049"/>
    <d v="2023-12-29T00:00:00"/>
    <x v="2"/>
    <s v="South"/>
    <n v="4380.2299999999996"/>
    <n v="38"/>
    <s v="Food"/>
    <n v="2945.92"/>
    <n v="3381.22"/>
    <x v="0"/>
    <n v="0.23"/>
    <s v="Cash"/>
    <x v="1"/>
    <s v="South-Charlie"/>
    <n v="0.23"/>
    <n v="3372.7770999999998"/>
  </r>
  <r>
    <n v="1014"/>
    <d v="2023-06-07T00:00:00"/>
    <x v="4"/>
    <s v="North"/>
    <n v="408.38"/>
    <n v="3"/>
    <s v="Electronics"/>
    <n v="2468.29"/>
    <n v="2723.13"/>
    <x v="0"/>
    <n v="0.08"/>
    <s v="Cash"/>
    <x v="1"/>
    <s v="North-Alice"/>
    <n v="0.08"/>
    <n v="375.70960000000002"/>
  </r>
  <r>
    <n v="1015"/>
    <d v="2023-02-08T00:00:00"/>
    <x v="2"/>
    <s v="East"/>
    <n v="2669.81"/>
    <n v="23"/>
    <s v="Electronics"/>
    <n v="2644.77"/>
    <n v="2684.83"/>
    <x v="1"/>
    <n v="0.24"/>
    <s v="Cash"/>
    <x v="0"/>
    <s v="East-Charlie"/>
    <n v="0.24"/>
    <n v="2029.0555999999999"/>
  </r>
  <r>
    <n v="1031"/>
    <d v="2023-03-23T00:00:00"/>
    <x v="3"/>
    <s v="East"/>
    <n v="433.4"/>
    <n v="32"/>
    <s v="Clothing"/>
    <n v="3351.33"/>
    <n v="3711.47"/>
    <x v="1"/>
    <n v="0.16"/>
    <s v="Cash"/>
    <x v="1"/>
    <s v="East-Eve"/>
    <n v="0.16"/>
    <n v="364.05599999999998"/>
  </r>
  <r>
    <n v="1001"/>
    <d v="2023-12-22T00:00:00"/>
    <x v="1"/>
    <s v="West"/>
    <n v="8803.94"/>
    <n v="45"/>
    <s v="Clothing"/>
    <n v="1372.36"/>
    <n v="1687.83"/>
    <x v="1"/>
    <n v="0.02"/>
    <s v="Credit Card"/>
    <x v="0"/>
    <s v="West-David"/>
    <n v="0.02"/>
    <n v="8627.8612000000012"/>
  </r>
  <r>
    <n v="1054"/>
    <d v="2023-09-15T00:00:00"/>
    <x v="0"/>
    <s v="South"/>
    <n v="2509.63"/>
    <n v="16"/>
    <s v="Electronics"/>
    <n v="4557.79"/>
    <n v="5043.3599999999997"/>
    <x v="0"/>
    <n v="0.14000000000000001"/>
    <s v="Credit Card"/>
    <x v="1"/>
    <s v="South-Bob"/>
    <n v="0.14000000000000001"/>
    <n v="2158.2818000000002"/>
  </r>
  <r>
    <n v="1003"/>
    <d v="2023-07-25T00:00:00"/>
    <x v="3"/>
    <s v="West"/>
    <n v="5617.64"/>
    <n v="5"/>
    <s v="Food"/>
    <n v="2206.58"/>
    <n v="2490.4699999999998"/>
    <x v="1"/>
    <n v="0.28000000000000003"/>
    <s v="Cash"/>
    <x v="0"/>
    <s v="West-Eve"/>
    <n v="0.28000000000000003"/>
    <n v="4044.7008000000001"/>
  </r>
  <r>
    <n v="1016"/>
    <d v="2023-03-18T00:00:00"/>
    <x v="1"/>
    <s v="South"/>
    <n v="485.9"/>
    <n v="4"/>
    <s v="Food"/>
    <n v="688.98"/>
    <n v="863.81"/>
    <x v="1"/>
    <n v="0.27"/>
    <s v="Credit Card"/>
    <x v="1"/>
    <s v="South-David"/>
    <n v="0.27"/>
    <n v="354.70699999999999"/>
  </r>
  <r>
    <n v="1087"/>
    <d v="2023-01-12T00:00:00"/>
    <x v="2"/>
    <s v="North"/>
    <n v="6701.79"/>
    <n v="21"/>
    <s v="Food"/>
    <n v="3724.38"/>
    <n v="3988.7"/>
    <x v="1"/>
    <n v="0.03"/>
    <s v="Bank Transfer"/>
    <x v="1"/>
    <s v="North-Charlie"/>
    <n v="0.03"/>
    <n v="6500.7362999999996"/>
  </r>
  <r>
    <n v="1057"/>
    <d v="2023-10-22T00:00:00"/>
    <x v="3"/>
    <s v="South"/>
    <n v="3297.97"/>
    <n v="40"/>
    <s v="Clothing"/>
    <n v="3233.37"/>
    <n v="3723.21"/>
    <x v="1"/>
    <n v="0.22"/>
    <s v="Bank Transfer"/>
    <x v="1"/>
    <s v="South-Eve"/>
    <n v="0.22"/>
    <n v="2572.4166"/>
  </r>
  <r>
    <n v="1075"/>
    <d v="2023-08-12T00:00:00"/>
    <x v="1"/>
    <s v="East"/>
    <n v="8989.4"/>
    <n v="14"/>
    <s v="Furniture"/>
    <n v="1612.93"/>
    <n v="1964.15"/>
    <x v="0"/>
    <n v="0.24"/>
    <s v="Bank Transfer"/>
    <x v="1"/>
    <s v="East-David"/>
    <n v="0.24"/>
    <n v="6831.9439999999995"/>
  </r>
  <r>
    <n v="1012"/>
    <d v="2023-01-13T00:00:00"/>
    <x v="4"/>
    <s v="East"/>
    <n v="8892.3700000000008"/>
    <n v="39"/>
    <s v="Furniture"/>
    <n v="3126.52"/>
    <n v="3465.79"/>
    <x v="1"/>
    <n v="0.08"/>
    <s v="Cash"/>
    <x v="0"/>
    <s v="East-Alice"/>
    <n v="0.08"/>
    <n v="8180.9804000000013"/>
  </r>
  <r>
    <n v="1074"/>
    <d v="2023-02-15T00:00:00"/>
    <x v="4"/>
    <s v="South"/>
    <n v="3320.38"/>
    <n v="31"/>
    <s v="Furniture"/>
    <n v="1138.32"/>
    <n v="1266.25"/>
    <x v="0"/>
    <n v="0.14000000000000001"/>
    <s v="Cash"/>
    <x v="1"/>
    <s v="South-Alice"/>
    <n v="0.14000000000000001"/>
    <n v="2855.5268000000001"/>
  </r>
  <r>
    <n v="1096"/>
    <d v="2023-06-04T00:00:00"/>
    <x v="0"/>
    <s v="South"/>
    <n v="9019.51"/>
    <n v="14"/>
    <s v="Furniture"/>
    <n v="2251.9499999999998"/>
    <n v="2626.3199999999902"/>
    <x v="0"/>
    <n v="0.21"/>
    <s v="Credit Card"/>
    <x v="0"/>
    <s v="South-Bob"/>
    <n v="0.21"/>
    <n v="7125.4129000000003"/>
  </r>
  <r>
    <n v="1016"/>
    <d v="2023-04-23T00:00:00"/>
    <x v="1"/>
    <s v="South"/>
    <n v="9961.9599999999991"/>
    <n v="6"/>
    <s v="Furniture"/>
    <n v="4502.09"/>
    <n v="4879.72"/>
    <x v="1"/>
    <n v="0.13"/>
    <s v="Credit Card"/>
    <x v="0"/>
    <s v="South-David"/>
    <n v="0.13"/>
    <n v="8666.9051999999992"/>
  </r>
  <r>
    <n v="1072"/>
    <d v="2023-08-21T00:00:00"/>
    <x v="4"/>
    <s v="West"/>
    <n v="8271.6200000000008"/>
    <n v="12"/>
    <s v="Clothing"/>
    <n v="710.99"/>
    <n v="876.46"/>
    <x v="0"/>
    <n v="0.03"/>
    <s v="Credit Card"/>
    <x v="0"/>
    <s v="West-Alice"/>
    <n v="0.03"/>
    <n v="8023.4714000000004"/>
  </r>
  <r>
    <n v="1076"/>
    <d v="2023-01-17T00:00:00"/>
    <x v="2"/>
    <s v="South"/>
    <n v="8464.23"/>
    <n v="16"/>
    <s v="Clothing"/>
    <n v="1964.15"/>
    <n v="2211.17"/>
    <x v="0"/>
    <n v="0.21"/>
    <s v="Bank Transfer"/>
    <x v="0"/>
    <s v="South-Charlie"/>
    <n v="0.21"/>
    <n v="6686.7416999999996"/>
  </r>
  <r>
    <n v="1024"/>
    <d v="2023-12-26T00:00:00"/>
    <x v="1"/>
    <s v="North"/>
    <n v="2565.19"/>
    <n v="17"/>
    <s v="Furniture"/>
    <n v="4114.66"/>
    <n v="4269.0199999999904"/>
    <x v="0"/>
    <n v="0.27"/>
    <s v="Bank Transfer"/>
    <x v="1"/>
    <s v="North-David"/>
    <n v="0.27"/>
    <n v="1872.5887"/>
  </r>
  <r>
    <n v="1028"/>
    <d v="2023-08-11T00:00:00"/>
    <x v="2"/>
    <s v="West"/>
    <n v="5809.35"/>
    <n v="45"/>
    <s v="Clothing"/>
    <n v="4848.9799999999996"/>
    <n v="4985.75"/>
    <x v="0"/>
    <n v="0.2"/>
    <s v="Bank Transfer"/>
    <x v="0"/>
    <s v="West-Charlie"/>
    <n v="0.2"/>
    <n v="4647.4800000000005"/>
  </r>
  <r>
    <n v="1008"/>
    <d v="2023-12-20T00:00:00"/>
    <x v="2"/>
    <s v="West"/>
    <n v="765.83"/>
    <n v="23"/>
    <s v="Clothing"/>
    <n v="2296.9299999999998"/>
    <n v="2319.62"/>
    <x v="0"/>
    <n v="0.23"/>
    <s v="Bank Transfer"/>
    <x v="1"/>
    <s v="West-Charlie"/>
    <n v="0.23"/>
    <n v="589.68910000000005"/>
  </r>
  <r>
    <n v="1092"/>
    <d v="2023-07-07T00:00:00"/>
    <x v="4"/>
    <s v="South"/>
    <n v="1039.69"/>
    <n v="14"/>
    <s v="Furniture"/>
    <n v="2559.65"/>
    <n v="2709.4"/>
    <x v="0"/>
    <n v="0.11"/>
    <s v="Credit Card"/>
    <x v="1"/>
    <s v="South-Alice"/>
    <n v="0.11"/>
    <n v="925.32410000000004"/>
  </r>
  <r>
    <n v="1036"/>
    <d v="2023-12-10T00:00:00"/>
    <x v="1"/>
    <s v="North"/>
    <n v="9989.0400000000009"/>
    <n v="7"/>
    <s v="Food"/>
    <n v="2882.25"/>
    <n v="3163.7"/>
    <x v="0"/>
    <n v="0.05"/>
    <s v="Cash"/>
    <x v="1"/>
    <s v="North-David"/>
    <n v="0.05"/>
    <n v="9489.5879999999997"/>
  </r>
  <r>
    <n v="1090"/>
    <d v="2023-12-31T00:00:00"/>
    <x v="3"/>
    <s v="West"/>
    <n v="3333.73"/>
    <n v="46"/>
    <s v="Clothing"/>
    <n v="4665.12"/>
    <n v="4675.8999999999996"/>
    <x v="1"/>
    <n v="0.19"/>
    <s v="Cash"/>
    <x v="1"/>
    <s v="West-Eve"/>
    <n v="0.19"/>
    <n v="2700.3213000000001"/>
  </r>
  <r>
    <n v="1008"/>
    <d v="2023-06-12T00:00:00"/>
    <x v="4"/>
    <s v="East"/>
    <n v="7507.02"/>
    <n v="32"/>
    <s v="Food"/>
    <n v="4298.12"/>
    <n v="4446.8999999999996"/>
    <x v="1"/>
    <n v="0.1"/>
    <s v="Bank Transfer"/>
    <x v="0"/>
    <s v="East-Alice"/>
    <n v="0.1"/>
    <n v="6756.3180000000002"/>
  </r>
  <r>
    <n v="1058"/>
    <d v="2023-11-22T00:00:00"/>
    <x v="4"/>
    <s v="West"/>
    <n v="8085.98"/>
    <n v="15"/>
    <s v="Clothing"/>
    <n v="894.48"/>
    <n v="1336.37"/>
    <x v="0"/>
    <n v="0.26"/>
    <s v="Cash"/>
    <x v="1"/>
    <s v="West-Alice"/>
    <n v="0.26"/>
    <n v="5983.6251999999995"/>
  </r>
  <r>
    <n v="1060"/>
    <d v="2023-03-15T00:00:00"/>
    <x v="1"/>
    <s v="South"/>
    <n v="8594.43"/>
    <n v="44"/>
    <s v="Clothing"/>
    <n v="2211.9499999999998"/>
    <n v="2512.8399999999901"/>
    <x v="0"/>
    <n v="0.04"/>
    <s v="Cash"/>
    <x v="0"/>
    <s v="South-David"/>
    <n v="0.04"/>
    <n v="8250.6527999999998"/>
  </r>
  <r>
    <n v="1050"/>
    <d v="2023-08-21T00:00:00"/>
    <x v="1"/>
    <s v="North"/>
    <n v="9976.52"/>
    <n v="17"/>
    <s v="Furniture"/>
    <n v="2346.8000000000002"/>
    <n v="2654.65"/>
    <x v="1"/>
    <n v="0.13"/>
    <s v="Cash"/>
    <x v="1"/>
    <s v="North-David"/>
    <n v="0.13"/>
    <n v="8679.5724000000009"/>
  </r>
  <r>
    <n v="1028"/>
    <d v="2023-08-12T00:00:00"/>
    <x v="2"/>
    <s v="South"/>
    <n v="2490.8200000000002"/>
    <n v="41"/>
    <s v="Clothing"/>
    <n v="3956.03"/>
    <n v="4163.68"/>
    <x v="1"/>
    <n v="0.12"/>
    <s v="Bank Transfer"/>
    <x v="1"/>
    <s v="South-Charlie"/>
    <n v="0.12"/>
    <n v="2191.9216000000001"/>
  </r>
  <r>
    <n v="1092"/>
    <d v="2023-11-15T00:00:00"/>
    <x v="1"/>
    <s v="East"/>
    <n v="499.47"/>
    <n v="47"/>
    <s v="Electronics"/>
    <n v="3034.32"/>
    <n v="3375.79"/>
    <x v="1"/>
    <n v="0.28000000000000003"/>
    <s v="Credit Card"/>
    <x v="0"/>
    <s v="East-David"/>
    <n v="0.28000000000000003"/>
    <n v="359.61840000000001"/>
  </r>
  <r>
    <n v="1041"/>
    <d v="2023-03-01T00:00:00"/>
    <x v="2"/>
    <s v="East"/>
    <n v="4170.8"/>
    <n v="44"/>
    <s v="Electronics"/>
    <n v="3288.39"/>
    <n v="3391.46"/>
    <x v="1"/>
    <n v="0.05"/>
    <s v="Credit Card"/>
    <x v="1"/>
    <s v="East-Charlie"/>
    <n v="0.05"/>
    <n v="3962.2599999999998"/>
  </r>
  <r>
    <n v="1100"/>
    <d v="2023-12-01T00:00:00"/>
    <x v="4"/>
    <s v="East"/>
    <n v="1387.8"/>
    <n v="34"/>
    <s v="Furniture"/>
    <n v="4991.09"/>
    <n v="5402.28"/>
    <x v="0"/>
    <n v="0"/>
    <s v="Cash"/>
    <x v="1"/>
    <s v="East-Alice"/>
    <n v="0"/>
    <n v="1387.8"/>
  </r>
  <r>
    <n v="1064"/>
    <d v="2023-08-10T00:00:00"/>
    <x v="0"/>
    <s v="South"/>
    <n v="322.02"/>
    <n v="5"/>
    <s v="Food"/>
    <n v="421.05"/>
    <n v="488.23"/>
    <x v="0"/>
    <n v="7.0000000000000007E-2"/>
    <s v="Credit Card"/>
    <x v="1"/>
    <s v="South-Bob"/>
    <n v="7.0000000000000007E-2"/>
    <n v="299.47859999999997"/>
  </r>
  <r>
    <n v="1027"/>
    <d v="2023-02-06T00:00:00"/>
    <x v="3"/>
    <s v="West"/>
    <n v="3668.23"/>
    <n v="45"/>
    <s v="Food"/>
    <n v="1153.9000000000001"/>
    <n v="1485.34"/>
    <x v="1"/>
    <n v="0.25"/>
    <s v="Credit Card"/>
    <x v="1"/>
    <s v="West-Eve"/>
    <n v="0.25"/>
    <n v="2751.1725000000001"/>
  </r>
  <r>
    <n v="1063"/>
    <d v="2023-10-05T00:00:00"/>
    <x v="4"/>
    <s v="South"/>
    <n v="7859.01"/>
    <n v="27"/>
    <s v="Food"/>
    <n v="2069.08"/>
    <n v="2246.2399999999998"/>
    <x v="1"/>
    <n v="0.06"/>
    <s v="Bank Transfer"/>
    <x v="1"/>
    <s v="South-Alice"/>
    <n v="0.06"/>
    <n v="7387.4694"/>
  </r>
  <r>
    <n v="1017"/>
    <d v="2023-07-15T00:00:00"/>
    <x v="1"/>
    <s v="North"/>
    <n v="5705.19"/>
    <n v="23"/>
    <s v="Electronics"/>
    <n v="1771.52"/>
    <n v="2147.8000000000002"/>
    <x v="1"/>
    <n v="7.0000000000000007E-2"/>
    <s v="Bank Transfer"/>
    <x v="0"/>
    <s v="North-David"/>
    <n v="7.0000000000000007E-2"/>
    <n v="5305.8266999999996"/>
  </r>
  <r>
    <n v="1073"/>
    <d v="2023-12-18T00:00:00"/>
    <x v="3"/>
    <s v="West"/>
    <n v="3196.5"/>
    <n v="40"/>
    <s v="Food"/>
    <n v="157.15"/>
    <n v="436.53"/>
    <x v="1"/>
    <n v="0.04"/>
    <s v="Cash"/>
    <x v="1"/>
    <s v="West-Eve"/>
    <n v="0.04"/>
    <n v="3068.64"/>
  </r>
  <r>
    <n v="1033"/>
    <d v="2023-08-30T00:00:00"/>
    <x v="0"/>
    <s v="East"/>
    <n v="6577.99"/>
    <n v="14"/>
    <s v="Food"/>
    <n v="504.3"/>
    <n v="735.95"/>
    <x v="0"/>
    <n v="0.21"/>
    <s v="Cash"/>
    <x v="1"/>
    <s v="East-Bob"/>
    <n v="0.21"/>
    <n v="5196.6121000000003"/>
  </r>
  <r>
    <n v="1084"/>
    <d v="2023-11-20T00:00:00"/>
    <x v="0"/>
    <s v="South"/>
    <n v="2396.98"/>
    <n v="15"/>
    <s v="Furniture"/>
    <n v="3420.72"/>
    <n v="3513.74"/>
    <x v="1"/>
    <n v="0.02"/>
    <s v="Cash"/>
    <x v="0"/>
    <s v="South-Bob"/>
    <n v="0.02"/>
    <n v="2349.0403999999999"/>
  </r>
  <r>
    <n v="1077"/>
    <d v="2023-08-07T00:00:00"/>
    <x v="2"/>
    <s v="East"/>
    <n v="242.38"/>
    <n v="43"/>
    <s v="Food"/>
    <n v="4402.66"/>
    <n v="4724.7"/>
    <x v="1"/>
    <n v="0.1"/>
    <s v="Bank Transfer"/>
    <x v="1"/>
    <s v="East-Charlie"/>
    <n v="0.1"/>
    <n v="218.142"/>
  </r>
  <r>
    <n v="1092"/>
    <d v="2023-07-11T00:00:00"/>
    <x v="3"/>
    <s v="East"/>
    <n v="7667.1"/>
    <n v="33"/>
    <s v="Electronics"/>
    <n v="2595.42"/>
    <n v="3083.06"/>
    <x v="1"/>
    <n v="0.08"/>
    <s v="Credit Card"/>
    <x v="0"/>
    <s v="East-Eve"/>
    <n v="0.08"/>
    <n v="7053.7320000000009"/>
  </r>
  <r>
    <n v="1029"/>
    <d v="2023-01-17T00:00:00"/>
    <x v="2"/>
    <s v="North"/>
    <n v="6275.06"/>
    <n v="31"/>
    <s v="Electronics"/>
    <n v="2719"/>
    <n v="3133.55"/>
    <x v="0"/>
    <n v="0.17"/>
    <s v="Bank Transfer"/>
    <x v="1"/>
    <s v="North-Charlie"/>
    <n v="0.17"/>
    <n v="5208.2997999999998"/>
  </r>
  <r>
    <n v="1013"/>
    <d v="2023-01-12T00:00:00"/>
    <x v="4"/>
    <s v="West"/>
    <n v="7646.8"/>
    <n v="35"/>
    <s v="Electronics"/>
    <n v="1312.71"/>
    <n v="1352.11"/>
    <x v="0"/>
    <n v="0.22"/>
    <s v="Bank Transfer"/>
    <x v="1"/>
    <s v="West-Alice"/>
    <n v="0.22"/>
    <n v="5964.5039999999999"/>
  </r>
  <r>
    <n v="1046"/>
    <d v="2023-07-12T00:00:00"/>
    <x v="3"/>
    <s v="North"/>
    <n v="485.49"/>
    <n v="17"/>
    <s v="Furniture"/>
    <n v="3850.99"/>
    <n v="4045.3399999999901"/>
    <x v="0"/>
    <n v="0.16"/>
    <s v="Credit Card"/>
    <x v="0"/>
    <s v="North-Eve"/>
    <n v="0.16"/>
    <n v="407.8116"/>
  </r>
  <r>
    <n v="1035"/>
    <d v="2023-01-22T00:00:00"/>
    <x v="4"/>
    <s v="North"/>
    <n v="8387.48"/>
    <n v="28"/>
    <s v="Furniture"/>
    <n v="3771.38"/>
    <n v="4234.92"/>
    <x v="1"/>
    <n v="0.28000000000000003"/>
    <s v="Credit Card"/>
    <x v="1"/>
    <s v="North-Alice"/>
    <n v="0.28000000000000003"/>
    <n v="6038.9855999999991"/>
  </r>
  <r>
    <n v="1006"/>
    <d v="2023-04-30T00:00:00"/>
    <x v="2"/>
    <s v="North"/>
    <n v="6233.31"/>
    <n v="19"/>
    <s v="Clothing"/>
    <n v="2962.41"/>
    <n v="3218.8999999999901"/>
    <x v="1"/>
    <n v="0.28999999999999998"/>
    <s v="Cash"/>
    <x v="1"/>
    <s v="North-Charlie"/>
    <n v="0.28999999999999998"/>
    <n v="4425.6500999999998"/>
  </r>
  <r>
    <n v="1082"/>
    <d v="2023-07-29T00:00:00"/>
    <x v="3"/>
    <s v="East"/>
    <n v="5677.61"/>
    <n v="46"/>
    <s v="Food"/>
    <n v="1102.69"/>
    <n v="1437.12"/>
    <x v="1"/>
    <n v="0.11"/>
    <s v="Credit Card"/>
    <x v="0"/>
    <s v="East-Eve"/>
    <n v="0.11"/>
    <n v="5053.0729000000001"/>
  </r>
  <r>
    <n v="1069"/>
    <d v="2023-11-02T00:00:00"/>
    <x v="2"/>
    <s v="North"/>
    <n v="6283.68"/>
    <n v="23"/>
    <s v="Furniture"/>
    <n v="530.24"/>
    <n v="987.41"/>
    <x v="0"/>
    <n v="0.23"/>
    <s v="Credit Card"/>
    <x v="0"/>
    <s v="North-Charlie"/>
    <n v="0.23"/>
    <n v="4838.4336000000003"/>
  </r>
  <r>
    <n v="1047"/>
    <d v="2023-09-27T00:00:00"/>
    <x v="3"/>
    <s v="North"/>
    <n v="8657.89"/>
    <n v="32"/>
    <s v="Electronics"/>
    <n v="367.98"/>
    <n v="806.14"/>
    <x v="0"/>
    <n v="0.22"/>
    <s v="Credit Card"/>
    <x v="1"/>
    <s v="North-Eve"/>
    <n v="0.22"/>
    <n v="6753.1541999999999"/>
  </r>
  <r>
    <n v="1025"/>
    <d v="2023-07-11T00:00:00"/>
    <x v="2"/>
    <s v="West"/>
    <n v="5910.67"/>
    <n v="40"/>
    <s v="Electronics"/>
    <n v="2983.85"/>
    <n v="3239.74"/>
    <x v="1"/>
    <n v="0.27"/>
    <s v="Credit Card"/>
    <x v="0"/>
    <s v="West-Charlie"/>
    <n v="0.27"/>
    <n v="4314.7891"/>
  </r>
  <r>
    <n v="1066"/>
    <d v="2023-06-24T00:00:00"/>
    <x v="0"/>
    <s v="West"/>
    <n v="5851.41"/>
    <n v="13"/>
    <s v="Furniture"/>
    <n v="4133.92"/>
    <n v="4358.37"/>
    <x v="1"/>
    <n v="0.13"/>
    <s v="Cash"/>
    <x v="1"/>
    <s v="West-Bob"/>
    <n v="0.13"/>
    <n v="5090.7267000000002"/>
  </r>
  <r>
    <n v="1010"/>
    <d v="2023-10-12T00:00:00"/>
    <x v="2"/>
    <s v="North"/>
    <n v="9907.7199999999993"/>
    <n v="20"/>
    <s v="Furniture"/>
    <n v="4298.74"/>
    <n v="4475.1899999999996"/>
    <x v="0"/>
    <n v="0.16"/>
    <s v="Cash"/>
    <x v="0"/>
    <s v="North-Charlie"/>
    <n v="0.16"/>
    <n v="8322.4847999999984"/>
  </r>
  <r>
    <n v="1056"/>
    <d v="2023-07-23T00:00:00"/>
    <x v="0"/>
    <s v="West"/>
    <n v="7591.63"/>
    <n v="35"/>
    <s v="Furniture"/>
    <n v="2344.9299999999998"/>
    <n v="2707.25"/>
    <x v="1"/>
    <n v="0.12"/>
    <s v="Credit Card"/>
    <x v="1"/>
    <s v="West-Bob"/>
    <n v="0.12"/>
    <n v="6680.6343999999999"/>
  </r>
  <r>
    <n v="1030"/>
    <d v="2023-06-13T00:00:00"/>
    <x v="2"/>
    <s v="West"/>
    <n v="4478.71"/>
    <n v="5"/>
    <s v="Clothing"/>
    <n v="3932.14"/>
    <n v="4082.7599999999902"/>
    <x v="1"/>
    <n v="0.26"/>
    <s v="Credit Card"/>
    <x v="0"/>
    <s v="West-Charlie"/>
    <n v="0.26"/>
    <n v="3314.2453999999998"/>
  </r>
  <r>
    <n v="1005"/>
    <d v="2023-09-08T00:00:00"/>
    <x v="3"/>
    <s v="North"/>
    <n v="7103.23"/>
    <n v="9"/>
    <s v="Electronics"/>
    <n v="4737.0600000000004"/>
    <n v="4869.5"/>
    <x v="1"/>
    <n v="7.0000000000000007E-2"/>
    <s v="Cash"/>
    <x v="0"/>
    <s v="North-Eve"/>
    <n v="7.0000000000000007E-2"/>
    <n v="6606.0038999999988"/>
  </r>
  <r>
    <n v="1033"/>
    <d v="2023-08-15T00:00:00"/>
    <x v="3"/>
    <s v="East"/>
    <n v="3953.38"/>
    <n v="29"/>
    <s v="Clothing"/>
    <n v="1412.09"/>
    <n v="1596.6499999999901"/>
    <x v="0"/>
    <n v="7.0000000000000007E-2"/>
    <s v="Cash"/>
    <x v="0"/>
    <s v="East-Eve"/>
    <n v="7.0000000000000007E-2"/>
    <n v="3676.6433999999999"/>
  </r>
  <r>
    <n v="1065"/>
    <d v="2023-01-07T00:00:00"/>
    <x v="3"/>
    <s v="North"/>
    <n v="2365.87"/>
    <n v="6"/>
    <s v="Clothing"/>
    <n v="2019.9"/>
    <n v="2116.7399999999998"/>
    <x v="1"/>
    <n v="0.11"/>
    <s v="Credit Card"/>
    <x v="0"/>
    <s v="North-Eve"/>
    <n v="0.11"/>
    <n v="2105.6242999999999"/>
  </r>
  <r>
    <n v="1018"/>
    <d v="2023-01-29T00:00:00"/>
    <x v="1"/>
    <s v="West"/>
    <n v="6008.83"/>
    <n v="25"/>
    <s v="Food"/>
    <n v="4660.82"/>
    <n v="5011.4299999999903"/>
    <x v="1"/>
    <n v="7.0000000000000007E-2"/>
    <s v="Bank Transfer"/>
    <x v="0"/>
    <s v="West-David"/>
    <n v="7.0000000000000007E-2"/>
    <n v="5588.2118999999993"/>
  </r>
  <r>
    <n v="1096"/>
    <d v="2023-02-02T00:00:00"/>
    <x v="4"/>
    <s v="East"/>
    <n v="9289"/>
    <n v="31"/>
    <s v="Electronics"/>
    <n v="1724.24"/>
    <n v="2036.2"/>
    <x v="1"/>
    <n v="0.17"/>
    <s v="Cash"/>
    <x v="0"/>
    <s v="East-Alice"/>
    <n v="0.17"/>
    <n v="7709.87"/>
  </r>
  <r>
    <n v="1049"/>
    <d v="2023-05-14T00:00:00"/>
    <x v="3"/>
    <s v="South"/>
    <n v="9298.48"/>
    <n v="22"/>
    <s v="Electronics"/>
    <n v="4573.6899999999996"/>
    <n v="4820.2999999999902"/>
    <x v="1"/>
    <n v="0.04"/>
    <s v="Cash"/>
    <x v="0"/>
    <s v="South-Eve"/>
    <n v="0.04"/>
    <n v="8926.5407999999989"/>
  </r>
  <r>
    <n v="1011"/>
    <d v="2023-03-20T00:00:00"/>
    <x v="0"/>
    <s v="East"/>
    <n v="3484.86"/>
    <n v="2"/>
    <s v="Furniture"/>
    <n v="4906.17"/>
    <n v="5107.43"/>
    <x v="0"/>
    <n v="0.1"/>
    <s v="Cash"/>
    <x v="0"/>
    <s v="East-Bob"/>
    <n v="0.1"/>
    <n v="3136.3740000000003"/>
  </r>
  <r>
    <n v="1085"/>
    <d v="2023-02-27T00:00:00"/>
    <x v="3"/>
    <s v="West"/>
    <n v="5324.01"/>
    <n v="45"/>
    <s v="Furniture"/>
    <n v="3325.96"/>
    <n v="3781.4"/>
    <x v="0"/>
    <n v="0.27"/>
    <s v="Credit Card"/>
    <x v="0"/>
    <s v="West-Eve"/>
    <n v="0.27"/>
    <n v="3886.5273000000002"/>
  </r>
  <r>
    <n v="1026"/>
    <d v="2023-01-26T00:00:00"/>
    <x v="1"/>
    <s v="East"/>
    <n v="2195.1999999999998"/>
    <n v="5"/>
    <s v="Food"/>
    <n v="4093.61"/>
    <n v="4117.88"/>
    <x v="0"/>
    <n v="0.12"/>
    <s v="Credit Card"/>
    <x v="1"/>
    <s v="East-David"/>
    <n v="0.12"/>
    <n v="1931.7759999999998"/>
  </r>
  <r>
    <n v="1063"/>
    <d v="2023-08-14T00:00:00"/>
    <x v="0"/>
    <s v="North"/>
    <n v="9956.75"/>
    <n v="27"/>
    <s v="Clothing"/>
    <n v="3760.25"/>
    <n v="4147.1099999999997"/>
    <x v="1"/>
    <n v="0.22"/>
    <s v="Cash"/>
    <x v="0"/>
    <s v="North-Bob"/>
    <n v="0.22"/>
    <n v="7766.2650000000003"/>
  </r>
  <r>
    <n v="1089"/>
    <d v="2023-10-12T00:00:00"/>
    <x v="1"/>
    <s v="South"/>
    <n v="9813.07"/>
    <n v="25"/>
    <s v="Furniture"/>
    <n v="3512.69"/>
    <n v="3964.63"/>
    <x v="0"/>
    <n v="0.03"/>
    <s v="Credit Card"/>
    <x v="1"/>
    <s v="South-David"/>
    <n v="0.03"/>
    <n v="9518.6778999999988"/>
  </r>
  <r>
    <n v="1086"/>
    <d v="2023-01-04T00:00:00"/>
    <x v="0"/>
    <s v="South"/>
    <n v="6530.14"/>
    <n v="8"/>
    <s v="Furniture"/>
    <n v="1569.31"/>
    <n v="1798.02"/>
    <x v="1"/>
    <n v="7.0000000000000007E-2"/>
    <s v="Credit Card"/>
    <x v="0"/>
    <s v="South-Bob"/>
    <n v="7.0000000000000007E-2"/>
    <n v="6073.0302000000001"/>
  </r>
  <r>
    <n v="1059"/>
    <d v="2023-04-09T00:00:00"/>
    <x v="2"/>
    <s v="South"/>
    <n v="8063.7"/>
    <n v="1"/>
    <s v="Electronics"/>
    <n v="332.62"/>
    <n v="612.46"/>
    <x v="0"/>
    <n v="0.24"/>
    <s v="Cash"/>
    <x v="1"/>
    <s v="South-Charlie"/>
    <n v="0.24"/>
    <n v="6128.4120000000003"/>
  </r>
  <r>
    <n v="1027"/>
    <d v="2023-02-08T00:00:00"/>
    <x v="4"/>
    <s v="West"/>
    <n v="7179.49"/>
    <n v="20"/>
    <s v="Electronics"/>
    <n v="1748.11"/>
    <n v="2220.9"/>
    <x v="1"/>
    <n v="0.23"/>
    <s v="Credit Card"/>
    <x v="1"/>
    <s v="West-Alice"/>
    <n v="0.23"/>
    <n v="5528.2073"/>
  </r>
  <r>
    <n v="1049"/>
    <d v="2023-09-28T00:00:00"/>
    <x v="4"/>
    <s v="West"/>
    <n v="5972.27"/>
    <n v="44"/>
    <s v="Furniture"/>
    <n v="3351.33"/>
    <n v="3465.35"/>
    <x v="0"/>
    <n v="0.12"/>
    <s v="Bank Transfer"/>
    <x v="0"/>
    <s v="West-Alice"/>
    <n v="0.12"/>
    <n v="5255.5976000000001"/>
  </r>
  <r>
    <n v="1077"/>
    <d v="2023-10-12T00:00:00"/>
    <x v="1"/>
    <s v="South"/>
    <n v="628.15"/>
    <n v="23"/>
    <s v="Electronics"/>
    <n v="557.52"/>
    <n v="822.39"/>
    <x v="0"/>
    <n v="0.28999999999999998"/>
    <s v="Credit Card"/>
    <x v="0"/>
    <s v="South-David"/>
    <n v="0.28999999999999998"/>
    <n v="445.98649999999998"/>
  </r>
  <r>
    <n v="1033"/>
    <d v="2023-06-06T00:00:00"/>
    <x v="4"/>
    <s v="East"/>
    <n v="4602.17"/>
    <n v="32"/>
    <s v="Food"/>
    <n v="108.99"/>
    <n v="351.6"/>
    <x v="0"/>
    <n v="0.27"/>
    <s v="Credit Card"/>
    <x v="1"/>
    <s v="East-Alice"/>
    <n v="0.27"/>
    <n v="3359.5841"/>
  </r>
  <r>
    <n v="1098"/>
    <d v="2023-03-16T00:00:00"/>
    <x v="1"/>
    <s v="South"/>
    <n v="6780.38"/>
    <n v="11"/>
    <s v="Furniture"/>
    <n v="741.48"/>
    <n v="878.09"/>
    <x v="1"/>
    <n v="0.28999999999999998"/>
    <s v="Cash"/>
    <x v="1"/>
    <s v="South-David"/>
    <n v="0.28999999999999998"/>
    <n v="4814.0698000000002"/>
  </r>
  <r>
    <n v="1099"/>
    <d v="2023-10-15T00:00:00"/>
    <x v="1"/>
    <s v="East"/>
    <n v="6807.56"/>
    <n v="39"/>
    <s v="Electronics"/>
    <n v="3592.89"/>
    <n v="4004"/>
    <x v="1"/>
    <n v="0.13"/>
    <s v="Cash"/>
    <x v="0"/>
    <s v="East-David"/>
    <n v="0.13"/>
    <n v="5922.5772000000006"/>
  </r>
  <r>
    <n v="1001"/>
    <d v="2023-05-10T00:00:00"/>
    <x v="1"/>
    <s v="East"/>
    <n v="3793.91"/>
    <n v="47"/>
    <s v="Food"/>
    <n v="4865.33"/>
    <n v="5316.13"/>
    <x v="1"/>
    <n v="0.06"/>
    <s v="Bank Transfer"/>
    <x v="0"/>
    <s v="East-David"/>
    <n v="0.06"/>
    <n v="3566.2753999999995"/>
  </r>
  <r>
    <n v="1021"/>
    <d v="2023-06-24T00:00:00"/>
    <x v="4"/>
    <s v="West"/>
    <n v="9422.75"/>
    <n v="24"/>
    <s v="Electronics"/>
    <n v="4916.17"/>
    <n v="5309.32"/>
    <x v="0"/>
    <n v="0.19"/>
    <s v="Credit Card"/>
    <x v="0"/>
    <s v="West-Alice"/>
    <n v="0.19"/>
    <n v="7632.4275000000007"/>
  </r>
  <r>
    <n v="1055"/>
    <d v="2023-03-25T00:00:00"/>
    <x v="1"/>
    <s v="East"/>
    <n v="1756.83"/>
    <n v="11"/>
    <s v="Electronics"/>
    <n v="2495.1999999999998"/>
    <n v="2600.9299999999998"/>
    <x v="1"/>
    <n v="0.21"/>
    <s v="Bank Transfer"/>
    <x v="1"/>
    <s v="East-David"/>
    <n v="0.21"/>
    <n v="1387.8957"/>
  </r>
  <r>
    <n v="1006"/>
    <d v="2023-01-22T00:00:00"/>
    <x v="4"/>
    <s v="South"/>
    <n v="5053.5600000000004"/>
    <n v="29"/>
    <s v="Electronics"/>
    <n v="4353.29"/>
    <n v="4405.8"/>
    <x v="1"/>
    <n v="0.04"/>
    <s v="Bank Transfer"/>
    <x v="0"/>
    <s v="South-Alice"/>
    <n v="0.04"/>
    <n v="4851.4175999999998"/>
  </r>
  <r>
    <n v="1092"/>
    <d v="2023-01-27T00:00:00"/>
    <x v="1"/>
    <s v="West"/>
    <n v="6939.75"/>
    <n v="26"/>
    <s v="Furniture"/>
    <n v="3697.29"/>
    <n v="4003.96"/>
    <x v="1"/>
    <n v="0.24"/>
    <s v="Cash"/>
    <x v="0"/>
    <s v="West-David"/>
    <n v="0.24"/>
    <n v="5274.21"/>
  </r>
  <r>
    <n v="1081"/>
    <d v="2023-07-14T00:00:00"/>
    <x v="3"/>
    <s v="North"/>
    <n v="7001.64"/>
    <n v="16"/>
    <s v="Clothing"/>
    <n v="2530.15"/>
    <n v="2568.13"/>
    <x v="1"/>
    <n v="0.01"/>
    <s v="Credit Card"/>
    <x v="0"/>
    <s v="North-Eve"/>
    <n v="0.01"/>
    <n v="6931.6235999999999"/>
  </r>
  <r>
    <n v="1069"/>
    <d v="2023-12-03T00:00:00"/>
    <x v="1"/>
    <s v="North"/>
    <n v="6521.53"/>
    <n v="35"/>
    <s v="Electronics"/>
    <n v="2885.16"/>
    <n v="3224.8399999999901"/>
    <x v="1"/>
    <n v="0.14000000000000001"/>
    <s v="Cash"/>
    <x v="0"/>
    <s v="North-David"/>
    <n v="0.14000000000000001"/>
    <n v="5608.5158000000001"/>
  </r>
  <r>
    <n v="1095"/>
    <d v="2023-08-24T00:00:00"/>
    <x v="0"/>
    <s v="West"/>
    <n v="2825.35"/>
    <n v="20"/>
    <s v="Food"/>
    <n v="729.27"/>
    <n v="999.18"/>
    <x v="1"/>
    <n v="0.1"/>
    <s v="Bank Transfer"/>
    <x v="0"/>
    <s v="West-Bob"/>
    <n v="0.1"/>
    <n v="2542.8150000000001"/>
  </r>
  <r>
    <n v="1005"/>
    <d v="2023-04-02T00:00:00"/>
    <x v="1"/>
    <s v="South"/>
    <n v="1646.45"/>
    <n v="46"/>
    <s v="Furniture"/>
    <n v="4691.42"/>
    <n v="5026.1899999999996"/>
    <x v="0"/>
    <n v="0.22"/>
    <s v="Bank Transfer"/>
    <x v="1"/>
    <s v="South-David"/>
    <n v="0.22"/>
    <n v="1284.231"/>
  </r>
  <r>
    <n v="1003"/>
    <d v="2023-01-21T00:00:00"/>
    <x v="2"/>
    <s v="North"/>
    <n v="6395.81"/>
    <n v="3"/>
    <s v="Furniture"/>
    <n v="1792.05"/>
    <n v="2091.23"/>
    <x v="0"/>
    <n v="0.09"/>
    <s v="Cash"/>
    <x v="1"/>
    <s v="North-Charlie"/>
    <n v="0.09"/>
    <n v="5820.187100000001"/>
  </r>
  <r>
    <n v="1053"/>
    <d v="2023-10-30T00:00:00"/>
    <x v="1"/>
    <s v="North"/>
    <n v="6033.09"/>
    <n v="1"/>
    <s v="Food"/>
    <n v="2258.44"/>
    <n v="2475.56"/>
    <x v="1"/>
    <n v="0.25"/>
    <s v="Cash"/>
    <x v="0"/>
    <s v="North-David"/>
    <n v="0.25"/>
    <n v="4524.8175000000001"/>
  </r>
  <r>
    <n v="1023"/>
    <d v="2023-12-23T00:00:00"/>
    <x v="0"/>
    <s v="East"/>
    <n v="1875.62"/>
    <n v="47"/>
    <s v="Electronics"/>
    <n v="3374.72"/>
    <n v="3483.1499999999901"/>
    <x v="0"/>
    <n v="0.18"/>
    <s v="Cash"/>
    <x v="0"/>
    <s v="East-Bob"/>
    <n v="0.18"/>
    <n v="1538.0083999999999"/>
  </r>
  <r>
    <n v="1053"/>
    <d v="2023-03-25T00:00:00"/>
    <x v="0"/>
    <s v="East"/>
    <n v="7080.88"/>
    <n v="1"/>
    <s v="Clothing"/>
    <n v="1702.82"/>
    <n v="1862.61"/>
    <x v="0"/>
    <n v="0.24"/>
    <s v="Cash"/>
    <x v="1"/>
    <s v="East-Bob"/>
    <n v="0.24"/>
    <n v="5381.4688000000006"/>
  </r>
  <r>
    <n v="1037"/>
    <d v="2023-09-19T00:00:00"/>
    <x v="4"/>
    <s v="South"/>
    <n v="4606.2"/>
    <n v="17"/>
    <s v="Electronics"/>
    <n v="1308.58"/>
    <n v="1575.59"/>
    <x v="1"/>
    <n v="0.3"/>
    <s v="Cash"/>
    <x v="0"/>
    <s v="South-Alice"/>
    <n v="0.3"/>
    <n v="3224.3399999999997"/>
  </r>
  <r>
    <n v="1074"/>
    <d v="2023-05-27T00:00:00"/>
    <x v="3"/>
    <s v="West"/>
    <n v="6710.83"/>
    <n v="2"/>
    <s v="Food"/>
    <n v="3173.69"/>
    <n v="3503.11"/>
    <x v="1"/>
    <n v="0.2"/>
    <s v="Bank Transfer"/>
    <x v="1"/>
    <s v="West-Eve"/>
    <n v="0.2"/>
    <n v="5368.6640000000007"/>
  </r>
  <r>
    <n v="1074"/>
    <d v="2023-09-14T00:00:00"/>
    <x v="1"/>
    <s v="South"/>
    <n v="8389.93"/>
    <n v="29"/>
    <s v="Furniture"/>
    <n v="173.67"/>
    <n v="565.62"/>
    <x v="0"/>
    <n v="0.3"/>
    <s v="Cash"/>
    <x v="0"/>
    <s v="South-David"/>
    <n v="0.3"/>
    <n v="5872.951"/>
  </r>
  <r>
    <n v="1083"/>
    <d v="2023-02-27T00:00:00"/>
    <x v="4"/>
    <s v="West"/>
    <n v="1780.31"/>
    <n v="20"/>
    <s v="Clothing"/>
    <n v="3617.59"/>
    <n v="4003.5"/>
    <x v="1"/>
    <n v="0.01"/>
    <s v="Credit Card"/>
    <x v="1"/>
    <s v="West-Alice"/>
    <n v="0.01"/>
    <n v="1762.5068999999999"/>
  </r>
  <r>
    <n v="1017"/>
    <d v="2023-01-15T00:00:00"/>
    <x v="3"/>
    <s v="North"/>
    <n v="289.52999999999997"/>
    <n v="6"/>
    <s v="Furniture"/>
    <n v="2594.42"/>
    <n v="3081.04"/>
    <x v="0"/>
    <n v="0.1"/>
    <s v="Bank Transfer"/>
    <x v="1"/>
    <s v="North-Eve"/>
    <n v="0.1"/>
    <n v="260.577"/>
  </r>
  <r>
    <n v="1085"/>
    <d v="2023-06-11T00:00:00"/>
    <x v="1"/>
    <s v="East"/>
    <n v="7813.12"/>
    <n v="8"/>
    <s v="Food"/>
    <n v="3048.48"/>
    <n v="3198.54"/>
    <x v="0"/>
    <n v="0.03"/>
    <s v="Bank Transfer"/>
    <x v="0"/>
    <s v="East-David"/>
    <n v="0.03"/>
    <n v="7578.7263999999996"/>
  </r>
  <r>
    <n v="1078"/>
    <d v="2023-06-12T00:00:00"/>
    <x v="2"/>
    <s v="South"/>
    <n v="6136"/>
    <n v="29"/>
    <s v="Electronics"/>
    <n v="3177.81"/>
    <n v="3222.65"/>
    <x v="0"/>
    <n v="0.08"/>
    <s v="Credit Card"/>
    <x v="1"/>
    <s v="South-Charlie"/>
    <n v="0.08"/>
    <n v="5645.12"/>
  </r>
  <r>
    <n v="1073"/>
    <d v="2023-11-16T00:00:00"/>
    <x v="1"/>
    <s v="South"/>
    <n v="7026.43"/>
    <n v="48"/>
    <s v="Clothing"/>
    <n v="2658.9"/>
    <n v="2838.27"/>
    <x v="1"/>
    <n v="0.25"/>
    <s v="Credit Card"/>
    <x v="0"/>
    <s v="South-David"/>
    <n v="0.25"/>
    <n v="5269.8225000000002"/>
  </r>
  <r>
    <n v="1001"/>
    <d v="2023-10-08T00:00:00"/>
    <x v="0"/>
    <s v="West"/>
    <n v="8397.73"/>
    <n v="33"/>
    <s v="Furniture"/>
    <n v="2933.54"/>
    <n v="3307.75"/>
    <x v="0"/>
    <n v="0.01"/>
    <s v="Bank Transfer"/>
    <x v="1"/>
    <s v="West-Bob"/>
    <n v="0.01"/>
    <n v="8313.7526999999991"/>
  </r>
  <r>
    <n v="1051"/>
    <d v="2023-10-07T00:00:00"/>
    <x v="0"/>
    <s v="West"/>
    <n v="8047.83"/>
    <n v="3"/>
    <s v="Furniture"/>
    <n v="3434.75"/>
    <n v="3659.42"/>
    <x v="1"/>
    <n v="0.16"/>
    <s v="Cash"/>
    <x v="0"/>
    <s v="West-Bob"/>
    <n v="0.16"/>
    <n v="6760.1772000000001"/>
  </r>
  <r>
    <n v="1045"/>
    <d v="2023-01-12T00:00:00"/>
    <x v="2"/>
    <s v="South"/>
    <n v="9613.11"/>
    <n v="35"/>
    <s v="Furniture"/>
    <n v="3777.94"/>
    <n v="4188.66"/>
    <x v="1"/>
    <n v="0.17"/>
    <s v="Bank Transfer"/>
    <x v="0"/>
    <s v="South-Charlie"/>
    <n v="0.17"/>
    <n v="7978.8813"/>
  </r>
  <r>
    <n v="1077"/>
    <d v="2023-10-01T00:00:00"/>
    <x v="4"/>
    <s v="West"/>
    <n v="5405.76"/>
    <n v="5"/>
    <s v="Electronics"/>
    <n v="3650.89"/>
    <n v="3930.06"/>
    <x v="1"/>
    <n v="0.17"/>
    <s v="Bank Transfer"/>
    <x v="0"/>
    <s v="West-Alice"/>
    <n v="0.17"/>
    <n v="4486.7807999999995"/>
  </r>
  <r>
    <n v="1004"/>
    <d v="2023-09-28T00:00:00"/>
    <x v="3"/>
    <s v="South"/>
    <n v="4936.1099999999997"/>
    <n v="27"/>
    <s v="Clothing"/>
    <n v="4354.6000000000004"/>
    <n v="4820.2"/>
    <x v="1"/>
    <n v="0.14000000000000001"/>
    <s v="Credit Card"/>
    <x v="1"/>
    <s v="South-Eve"/>
    <n v="0.14000000000000001"/>
    <n v="4245.0545999999995"/>
  </r>
  <r>
    <n v="1062"/>
    <d v="2023-07-27T00:00:00"/>
    <x v="1"/>
    <s v="South"/>
    <n v="4078.68"/>
    <n v="44"/>
    <s v="Electronics"/>
    <n v="987.74"/>
    <n v="1462.19"/>
    <x v="1"/>
    <n v="0.24"/>
    <s v="Bank Transfer"/>
    <x v="0"/>
    <s v="South-David"/>
    <n v="0.24"/>
    <n v="3099.7968000000001"/>
  </r>
  <r>
    <n v="1065"/>
    <d v="2023-01-27T00:00:00"/>
    <x v="0"/>
    <s v="South"/>
    <n v="1621.54"/>
    <n v="12"/>
    <s v="Electronics"/>
    <n v="2035.68"/>
    <n v="2079.64"/>
    <x v="0"/>
    <n v="0.04"/>
    <s v="Cash"/>
    <x v="0"/>
    <s v="South-Bob"/>
    <n v="0.04"/>
    <n v="1556.6784"/>
  </r>
  <r>
    <n v="1032"/>
    <d v="2023-03-13T00:00:00"/>
    <x v="4"/>
    <s v="North"/>
    <n v="5768.81"/>
    <n v="20"/>
    <s v="Electronics"/>
    <n v="4741.59"/>
    <n v="4975.2299999999996"/>
    <x v="1"/>
    <n v="0.09"/>
    <s v="Credit Card"/>
    <x v="0"/>
    <s v="North-Alice"/>
    <n v="0.09"/>
    <n v="5249.6171000000004"/>
  </r>
  <r>
    <n v="1034"/>
    <d v="2023-03-01T00:00:00"/>
    <x v="2"/>
    <s v="West"/>
    <n v="2842.42"/>
    <n v="45"/>
    <s v="Food"/>
    <n v="2013.12"/>
    <n v="2321.87"/>
    <x v="1"/>
    <n v="0.18"/>
    <s v="Bank Transfer"/>
    <x v="1"/>
    <s v="West-Charlie"/>
    <n v="0.18"/>
    <n v="2330.7844000000005"/>
  </r>
  <r>
    <n v="1092"/>
    <d v="2023-05-25T00:00:00"/>
    <x v="0"/>
    <s v="East"/>
    <n v="9220.94"/>
    <n v="20"/>
    <s v="Food"/>
    <n v="668.11"/>
    <n v="803.49"/>
    <x v="1"/>
    <n v="0.21"/>
    <s v="Bank Transfer"/>
    <x v="0"/>
    <s v="East-Bob"/>
    <n v="0.21"/>
    <n v="7284.5426000000007"/>
  </r>
  <r>
    <n v="1095"/>
    <d v="2023-04-03T00:00:00"/>
    <x v="2"/>
    <s v="East"/>
    <n v="5873.59"/>
    <n v="9"/>
    <s v="Food"/>
    <n v="2650.95"/>
    <n v="2860.4199999999901"/>
    <x v="1"/>
    <n v="0.12"/>
    <s v="Cash"/>
    <x v="1"/>
    <s v="East-Charlie"/>
    <n v="0.12"/>
    <n v="5168.7592000000004"/>
  </r>
  <r>
    <n v="1072"/>
    <d v="2023-11-05T00:00:00"/>
    <x v="1"/>
    <s v="West"/>
    <n v="5969.12"/>
    <n v="39"/>
    <s v="Clothing"/>
    <n v="591.98"/>
    <n v="934.04"/>
    <x v="1"/>
    <n v="0.26"/>
    <s v="Bank Transfer"/>
    <x v="1"/>
    <s v="West-David"/>
    <n v="0.26"/>
    <n v="4417.1487999999999"/>
  </r>
  <r>
    <n v="1039"/>
    <d v="2023-01-08T00:00:00"/>
    <x v="3"/>
    <s v="South"/>
    <n v="3613.75"/>
    <n v="4"/>
    <s v="Electronics"/>
    <n v="1054.1199999999999"/>
    <n v="1175.21999999999"/>
    <x v="0"/>
    <n v="0.12"/>
    <s v="Bank Transfer"/>
    <x v="1"/>
    <s v="South-Eve"/>
    <n v="0.12"/>
    <n v="3180.1"/>
  </r>
  <r>
    <n v="1026"/>
    <d v="2023-03-20T00:00:00"/>
    <x v="0"/>
    <s v="East"/>
    <n v="614.69000000000005"/>
    <n v="19"/>
    <s v="Electronics"/>
    <n v="4991.68"/>
    <n v="5296.65"/>
    <x v="1"/>
    <n v="0.12"/>
    <s v="Bank Transfer"/>
    <x v="0"/>
    <s v="East-Bob"/>
    <n v="0.12"/>
    <n v="540.92720000000008"/>
  </r>
  <r>
    <n v="1034"/>
    <d v="2023-01-27T00:00:00"/>
    <x v="0"/>
    <s v="East"/>
    <n v="414.26"/>
    <n v="38"/>
    <s v="Food"/>
    <n v="2729.75"/>
    <n v="3081.5"/>
    <x v="1"/>
    <n v="0.01"/>
    <s v="Bank Transfer"/>
    <x v="0"/>
    <s v="East-Bob"/>
    <n v="0.01"/>
    <n v="410.11739999999998"/>
  </r>
  <r>
    <n v="1054"/>
    <d v="2023-06-23T00:00:00"/>
    <x v="1"/>
    <s v="West"/>
    <n v="4291.0200000000004"/>
    <n v="27"/>
    <s v="Electronics"/>
    <n v="1456.09"/>
    <n v="1510.4299999999901"/>
    <x v="0"/>
    <n v="0.17"/>
    <s v="Cash"/>
    <x v="1"/>
    <s v="West-David"/>
    <n v="0.17"/>
    <n v="3561.5466000000001"/>
  </r>
  <r>
    <n v="1003"/>
    <d v="2023-02-19T00:00:00"/>
    <x v="4"/>
    <s v="East"/>
    <n v="937.2"/>
    <n v="45"/>
    <s v="Electronics"/>
    <n v="4974.1400000000003"/>
    <n v="5227.93"/>
    <x v="1"/>
    <n v="0.21"/>
    <s v="Bank Transfer"/>
    <x v="0"/>
    <s v="East-Alice"/>
    <n v="0.21"/>
    <n v="740.38800000000003"/>
  </r>
  <r>
    <n v="1050"/>
    <d v="2023-07-18T00:00:00"/>
    <x v="3"/>
    <s v="South"/>
    <n v="6107.78"/>
    <n v="43"/>
    <s v="Furniture"/>
    <n v="4834.47"/>
    <n v="4973.38"/>
    <x v="0"/>
    <n v="0.03"/>
    <s v="Bank Transfer"/>
    <x v="0"/>
    <s v="South-Eve"/>
    <n v="0.03"/>
    <n v="5924.5465999999997"/>
  </r>
  <r>
    <n v="1012"/>
    <d v="2023-12-15T00:00:00"/>
    <x v="0"/>
    <s v="West"/>
    <n v="8821.6299999999992"/>
    <n v="13"/>
    <s v="Electronics"/>
    <n v="2231.66"/>
    <n v="2596.6099999999901"/>
    <x v="0"/>
    <n v="0.09"/>
    <s v="Bank Transfer"/>
    <x v="1"/>
    <s v="West-Bob"/>
    <n v="0.09"/>
    <n v="8027.6832999999997"/>
  </r>
  <r>
    <n v="1065"/>
    <d v="2023-06-30T00:00:00"/>
    <x v="3"/>
    <s v="South"/>
    <n v="8840.86"/>
    <n v="13"/>
    <s v="Furniture"/>
    <n v="1339"/>
    <n v="1441.88"/>
    <x v="0"/>
    <n v="0.23"/>
    <s v="Credit Card"/>
    <x v="1"/>
    <s v="South-Eve"/>
    <n v="0.23"/>
    <n v="6807.4622000000008"/>
  </r>
  <r>
    <n v="1054"/>
    <d v="2023-01-24T00:00:00"/>
    <x v="0"/>
    <s v="East"/>
    <n v="6624.55"/>
    <n v="22"/>
    <s v="Electronics"/>
    <n v="4200.08"/>
    <n v="4647.28"/>
    <x v="0"/>
    <n v="0.11"/>
    <s v="Cash"/>
    <x v="0"/>
    <s v="East-Bob"/>
    <n v="0.11"/>
    <n v="5895.8495000000003"/>
  </r>
  <r>
    <n v="1005"/>
    <d v="2023-11-12T00:00:00"/>
    <x v="3"/>
    <s v="East"/>
    <n v="2191.1999999999998"/>
    <n v="28"/>
    <s v="Clothing"/>
    <n v="3592.32"/>
    <n v="3813.48"/>
    <x v="1"/>
    <n v="7.0000000000000007E-2"/>
    <s v="Credit Card"/>
    <x v="1"/>
    <s v="East-Eve"/>
    <n v="7.0000000000000007E-2"/>
    <n v="2037.8159999999998"/>
  </r>
  <r>
    <n v="1094"/>
    <d v="2023-02-15T00:00:00"/>
    <x v="2"/>
    <s v="South"/>
    <n v="8643.67"/>
    <n v="47"/>
    <s v="Food"/>
    <n v="3450.36"/>
    <n v="3557.38"/>
    <x v="1"/>
    <n v="0.2"/>
    <s v="Credit Card"/>
    <x v="0"/>
    <s v="South-Charlie"/>
    <n v="0.2"/>
    <n v="6914.9360000000006"/>
  </r>
  <r>
    <n v="1094"/>
    <d v="2023-01-15T00:00:00"/>
    <x v="0"/>
    <s v="North"/>
    <n v="8872.33"/>
    <n v="45"/>
    <s v="Furniture"/>
    <n v="4470.91"/>
    <n v="4695.54"/>
    <x v="0"/>
    <n v="0.06"/>
    <s v="Cash"/>
    <x v="1"/>
    <s v="North-Bob"/>
    <n v="0.06"/>
    <n v="8339.9902000000002"/>
  </r>
  <r>
    <n v="1057"/>
    <d v="2023-06-02T00:00:00"/>
    <x v="3"/>
    <s v="East"/>
    <n v="2046.87"/>
    <n v="22"/>
    <s v="Food"/>
    <n v="3462.61"/>
    <n v="3672.89"/>
    <x v="0"/>
    <n v="0.27"/>
    <s v="Credit Card"/>
    <x v="0"/>
    <s v="East-Eve"/>
    <n v="0.27"/>
    <n v="1494.2150999999999"/>
  </r>
  <r>
    <n v="1017"/>
    <d v="2023-08-10T00:00:00"/>
    <x v="4"/>
    <s v="North"/>
    <n v="7400.52"/>
    <n v="43"/>
    <s v="Furniture"/>
    <n v="1454.8"/>
    <n v="1674.97"/>
    <x v="1"/>
    <n v="0.03"/>
    <s v="Credit Card"/>
    <x v="0"/>
    <s v="North-Alice"/>
    <n v="0.03"/>
    <n v="7178.5043999999998"/>
  </r>
  <r>
    <n v="1047"/>
    <d v="2023-07-25T00:00:00"/>
    <x v="2"/>
    <s v="East"/>
    <n v="2936.54"/>
    <n v="19"/>
    <s v="Furniture"/>
    <n v="3484.62"/>
    <n v="3781.5499999999902"/>
    <x v="0"/>
    <n v="0.21"/>
    <s v="Credit Card"/>
    <x v="1"/>
    <s v="East-Charlie"/>
    <n v="0.21"/>
    <n v="2319.8666000000003"/>
  </r>
  <r>
    <n v="1023"/>
    <d v="2023-09-30T00:00:00"/>
    <x v="2"/>
    <s v="North"/>
    <n v="8046.14"/>
    <n v="8"/>
    <s v="Furniture"/>
    <n v="1563.78"/>
    <n v="1829.1599999999901"/>
    <x v="0"/>
    <n v="0.15"/>
    <s v="Cash"/>
    <x v="0"/>
    <s v="North-Charlie"/>
    <n v="0.15"/>
    <n v="6839.2190000000001"/>
  </r>
  <r>
    <n v="1079"/>
    <d v="2023-08-24T00:00:00"/>
    <x v="4"/>
    <s v="North"/>
    <n v="9972.66"/>
    <n v="8"/>
    <s v="Clothing"/>
    <n v="3808.23"/>
    <n v="3891.62"/>
    <x v="0"/>
    <n v="0.26"/>
    <s v="Bank Transfer"/>
    <x v="0"/>
    <s v="North-Alice"/>
    <n v="0.26"/>
    <n v="7379.7683999999999"/>
  </r>
  <r>
    <n v="1085"/>
    <d v="2023-12-06T00:00:00"/>
    <x v="3"/>
    <s v="North"/>
    <n v="397.26"/>
    <n v="42"/>
    <s v="Electronics"/>
    <n v="3117.75"/>
    <n v="3159.88"/>
    <x v="1"/>
    <n v="0.04"/>
    <s v="Cash"/>
    <x v="1"/>
    <s v="North-Eve"/>
    <n v="0.04"/>
    <n v="381.36959999999999"/>
  </r>
  <r>
    <n v="1014"/>
    <d v="2023-08-16T00:00:00"/>
    <x v="1"/>
    <s v="South"/>
    <n v="8983.92"/>
    <n v="26"/>
    <s v="Furniture"/>
    <n v="433.19"/>
    <n v="800.6"/>
    <x v="0"/>
    <n v="0.2"/>
    <s v="Cash"/>
    <x v="0"/>
    <s v="South-David"/>
    <n v="0.2"/>
    <n v="7187.1360000000004"/>
  </r>
  <r>
    <n v="1066"/>
    <d v="2023-01-09T00:00:00"/>
    <x v="4"/>
    <s v="North"/>
    <n v="6264.04"/>
    <n v="48"/>
    <s v="Clothing"/>
    <n v="2588.54"/>
    <n v="2872.8"/>
    <x v="1"/>
    <n v="0.17"/>
    <s v="Cash"/>
    <x v="0"/>
    <s v="North-Alice"/>
    <n v="0.17"/>
    <n v="5199.1531999999997"/>
  </r>
  <r>
    <n v="1075"/>
    <d v="2023-06-15T00:00:00"/>
    <x v="3"/>
    <s v="North"/>
    <n v="9736.49"/>
    <n v="26"/>
    <s v="Furniture"/>
    <n v="1749.34"/>
    <n v="1935.25"/>
    <x v="1"/>
    <n v="0.14000000000000001"/>
    <s v="Credit Card"/>
    <x v="0"/>
    <s v="North-Eve"/>
    <n v="0.14000000000000001"/>
    <n v="8373.3814000000002"/>
  </r>
  <r>
    <n v="1051"/>
    <d v="2023-11-15T00:00:00"/>
    <x v="4"/>
    <s v="North"/>
    <n v="4703.59"/>
    <n v="23"/>
    <s v="Electronics"/>
    <n v="1676.42"/>
    <n v="2082.52"/>
    <x v="1"/>
    <n v="0.15"/>
    <s v="Bank Transfer"/>
    <x v="1"/>
    <s v="North-Alice"/>
    <n v="0.15"/>
    <n v="3998.0515"/>
  </r>
  <r>
    <n v="1038"/>
    <d v="2023-08-02T00:00:00"/>
    <x v="4"/>
    <s v="East"/>
    <n v="8489.14"/>
    <n v="43"/>
    <s v="Furniture"/>
    <n v="3031.17"/>
    <n v="3231.32"/>
    <x v="0"/>
    <n v="0.22"/>
    <s v="Cash"/>
    <x v="1"/>
    <s v="East-Alice"/>
    <n v="0.22"/>
    <n v="6621.5291999999999"/>
  </r>
  <r>
    <n v="1064"/>
    <d v="2023-04-27T00:00:00"/>
    <x v="0"/>
    <s v="North"/>
    <n v="717.7"/>
    <n v="13"/>
    <s v="Clothing"/>
    <n v="1645.51"/>
    <n v="2045.53"/>
    <x v="0"/>
    <n v="0.28000000000000003"/>
    <s v="Cash"/>
    <x v="1"/>
    <s v="North-Bob"/>
    <n v="0.28000000000000003"/>
    <n v="516.74400000000003"/>
  </r>
  <r>
    <n v="1098"/>
    <d v="2023-12-10T00:00:00"/>
    <x v="3"/>
    <s v="East"/>
    <n v="3419.26"/>
    <n v="28"/>
    <s v="Electronics"/>
    <n v="3895.62"/>
    <n v="4055.44"/>
    <x v="1"/>
    <n v="0.03"/>
    <s v="Bank Transfer"/>
    <x v="1"/>
    <s v="East-Eve"/>
    <n v="0.03"/>
    <n v="3316.6822000000002"/>
  </r>
  <r>
    <n v="1038"/>
    <d v="2023-03-13T00:00:00"/>
    <x v="1"/>
    <s v="North"/>
    <n v="763.46"/>
    <n v="9"/>
    <s v="Clothing"/>
    <n v="400.42"/>
    <n v="446.11"/>
    <x v="1"/>
    <n v="0.01"/>
    <s v="Bank Transfer"/>
    <x v="1"/>
    <s v="North-David"/>
    <n v="0.01"/>
    <n v="755.82540000000006"/>
  </r>
  <r>
    <n v="1050"/>
    <d v="2023-03-05T00:00:00"/>
    <x v="0"/>
    <s v="North"/>
    <n v="9755.9"/>
    <n v="20"/>
    <s v="Electronics"/>
    <n v="3318.92"/>
    <n v="3785.91"/>
    <x v="1"/>
    <n v="0.24"/>
    <s v="Bank Transfer"/>
    <x v="0"/>
    <s v="North-Bob"/>
    <n v="0.24"/>
    <n v="7414.4839999999995"/>
  </r>
  <r>
    <n v="1098"/>
    <d v="2023-07-24T00:00:00"/>
    <x v="4"/>
    <s v="South"/>
    <n v="8188.04"/>
    <n v="19"/>
    <s v="Electronics"/>
    <n v="4055.51"/>
    <n v="4258.84"/>
    <x v="0"/>
    <n v="0.03"/>
    <s v="Credit Card"/>
    <x v="0"/>
    <s v="South-Alice"/>
    <n v="0.03"/>
    <n v="7942.3987999999999"/>
  </r>
  <r>
    <n v="1082"/>
    <d v="2023-07-28T00:00:00"/>
    <x v="4"/>
    <s v="East"/>
    <n v="8540.2199999999993"/>
    <n v="48"/>
    <s v="Food"/>
    <n v="3380.52"/>
    <n v="3778.94"/>
    <x v="0"/>
    <n v="0.3"/>
    <s v="Bank Transfer"/>
    <x v="0"/>
    <s v="East-Alice"/>
    <n v="0.3"/>
    <n v="5978.1539999999995"/>
  </r>
  <r>
    <n v="1030"/>
    <d v="2023-03-13T00:00:00"/>
    <x v="4"/>
    <s v="North"/>
    <n v="9385.86"/>
    <n v="39"/>
    <s v="Food"/>
    <n v="2511.2800000000002"/>
    <n v="2658.06"/>
    <x v="1"/>
    <n v="0.19"/>
    <s v="Credit Card"/>
    <x v="1"/>
    <s v="North-Alice"/>
    <n v="0.19"/>
    <n v="7602.5466000000006"/>
  </r>
  <r>
    <n v="1079"/>
    <d v="2023-10-04T00:00:00"/>
    <x v="3"/>
    <s v="East"/>
    <n v="942.52"/>
    <n v="12"/>
    <s v="Food"/>
    <n v="4754.0200000000004"/>
    <n v="5080.74"/>
    <x v="1"/>
    <n v="0.2"/>
    <s v="Cash"/>
    <x v="0"/>
    <s v="East-Eve"/>
    <n v="0.2"/>
    <n v="754.01600000000008"/>
  </r>
  <r>
    <n v="1091"/>
    <d v="2023-10-01T00:00:00"/>
    <x v="3"/>
    <s v="East"/>
    <n v="3917.42"/>
    <n v="15"/>
    <s v="Electronics"/>
    <n v="1534.7"/>
    <n v="1972.62"/>
    <x v="0"/>
    <n v="0.06"/>
    <s v="Credit Card"/>
    <x v="1"/>
    <s v="East-Eve"/>
    <n v="0.06"/>
    <n v="3682.3748000000001"/>
  </r>
  <r>
    <n v="1051"/>
    <d v="2023-11-16T00:00:00"/>
    <x v="0"/>
    <s v="West"/>
    <n v="803.25"/>
    <n v="31"/>
    <s v="Furniture"/>
    <n v="144.88"/>
    <n v="175.29"/>
    <x v="1"/>
    <n v="7.0000000000000007E-2"/>
    <s v="Bank Transfer"/>
    <x v="0"/>
    <s v="West-Bob"/>
    <n v="7.0000000000000007E-2"/>
    <n v="747.02249999999992"/>
  </r>
  <r>
    <n v="1063"/>
    <d v="2023-12-04T00:00:00"/>
    <x v="1"/>
    <s v="South"/>
    <n v="2186.85"/>
    <n v="14"/>
    <s v="Clothing"/>
    <n v="2188.35"/>
    <n v="2605.3599999999901"/>
    <x v="0"/>
    <n v="0.2"/>
    <s v="Credit Card"/>
    <x v="1"/>
    <s v="South-David"/>
    <n v="0.2"/>
    <n v="1749.48"/>
  </r>
  <r>
    <n v="1098"/>
    <d v="2024-01-01T00:00:00"/>
    <x v="0"/>
    <s v="South"/>
    <n v="2370.7199999999998"/>
    <n v="11"/>
    <s v="Clothing"/>
    <n v="213.41"/>
    <n v="503.36"/>
    <x v="0"/>
    <n v="0.27"/>
    <s v="Bank Transfer"/>
    <x v="0"/>
    <s v="South-Bob"/>
    <n v="0.27"/>
    <n v="1730.6255999999998"/>
  </r>
  <r>
    <n v="1052"/>
    <d v="2023-04-05T00:00:00"/>
    <x v="2"/>
    <s v="South"/>
    <n v="4744.16"/>
    <n v="26"/>
    <s v="Clothing"/>
    <n v="4771.99"/>
    <n v="5079.6499999999996"/>
    <x v="1"/>
    <n v="0.28999999999999998"/>
    <s v="Credit Card"/>
    <x v="0"/>
    <s v="South-Charlie"/>
    <n v="0.28999999999999998"/>
    <n v="3368.3535999999999"/>
  </r>
  <r>
    <n v="1038"/>
    <d v="2023-06-15T00:00:00"/>
    <x v="4"/>
    <s v="West"/>
    <n v="2758.77"/>
    <n v="42"/>
    <s v="Food"/>
    <n v="1089.0899999999999"/>
    <n v="1355.44"/>
    <x v="1"/>
    <n v="0.06"/>
    <s v="Cash"/>
    <x v="1"/>
    <s v="West-Alice"/>
    <n v="0.06"/>
    <n v="2593.2437999999997"/>
  </r>
  <r>
    <n v="1097"/>
    <d v="2023-02-01T00:00:00"/>
    <x v="4"/>
    <s v="West"/>
    <n v="1099.68"/>
    <n v="27"/>
    <s v="Electronics"/>
    <n v="3955.19"/>
    <n v="4393.68"/>
    <x v="0"/>
    <n v="0.04"/>
    <s v="Credit Card"/>
    <x v="0"/>
    <s v="West-Alice"/>
    <n v="0.04"/>
    <n v="1055.6928"/>
  </r>
  <r>
    <n v="1088"/>
    <d v="2023-01-11T00:00:00"/>
    <x v="4"/>
    <s v="South"/>
    <n v="1758.16"/>
    <n v="11"/>
    <s v="Food"/>
    <n v="3884.13"/>
    <n v="3915.41"/>
    <x v="0"/>
    <n v="0.02"/>
    <s v="Cash"/>
    <x v="0"/>
    <s v="South-Alice"/>
    <n v="0.02"/>
    <n v="1722.9968000000001"/>
  </r>
  <r>
    <n v="1079"/>
    <d v="2023-10-28T00:00:00"/>
    <x v="0"/>
    <s v="West"/>
    <n v="1558.03"/>
    <n v="38"/>
    <s v="Furniture"/>
    <n v="1127.76"/>
    <n v="1265.6600000000001"/>
    <x v="0"/>
    <n v="0.26"/>
    <s v="Bank Transfer"/>
    <x v="1"/>
    <s v="West-Bob"/>
    <n v="0.26"/>
    <n v="1152.9422"/>
  </r>
  <r>
    <n v="1030"/>
    <d v="2023-08-05T00:00:00"/>
    <x v="0"/>
    <s v="West"/>
    <n v="9733.4599999999991"/>
    <n v="34"/>
    <s v="Electronics"/>
    <n v="3125.07"/>
    <n v="3564.19"/>
    <x v="0"/>
    <n v="0.09"/>
    <s v="Cash"/>
    <x v="0"/>
    <s v="West-Bob"/>
    <n v="0.09"/>
    <n v="8857.4485999999997"/>
  </r>
  <r>
    <n v="1051"/>
    <d v="2023-10-16T00:00:00"/>
    <x v="4"/>
    <s v="West"/>
    <n v="7617"/>
    <n v="43"/>
    <s v="Clothing"/>
    <n v="287.99"/>
    <n v="666.64"/>
    <x v="0"/>
    <n v="0"/>
    <s v="Bank Transfer"/>
    <x v="0"/>
    <s v="West-Alice"/>
    <n v="0"/>
    <n v="7617"/>
  </r>
  <r>
    <n v="1081"/>
    <d v="2023-04-12T00:00:00"/>
    <x v="0"/>
    <s v="South"/>
    <n v="9680.84"/>
    <n v="19"/>
    <s v="Food"/>
    <n v="2443.69"/>
    <n v="2462.34"/>
    <x v="1"/>
    <n v="7.0000000000000007E-2"/>
    <s v="Bank Transfer"/>
    <x v="1"/>
    <s v="South-Bob"/>
    <n v="7.0000000000000007E-2"/>
    <n v="9003.1811999999991"/>
  </r>
  <r>
    <n v="1005"/>
    <d v="2023-09-24T00:00:00"/>
    <x v="3"/>
    <s v="South"/>
    <n v="4453.43"/>
    <n v="6"/>
    <s v="Food"/>
    <n v="122.5"/>
    <n v="385.83"/>
    <x v="0"/>
    <n v="0.1"/>
    <s v="Cash"/>
    <x v="1"/>
    <s v="South-Eve"/>
    <n v="0.1"/>
    <n v="4008.0870000000004"/>
  </r>
  <r>
    <n v="1029"/>
    <d v="2023-08-02T00:00:00"/>
    <x v="3"/>
    <s v="South"/>
    <n v="2855.85"/>
    <n v="46"/>
    <s v="Furniture"/>
    <n v="4609.66"/>
    <n v="4879.1499999999996"/>
    <x v="0"/>
    <n v="0.3"/>
    <s v="Cash"/>
    <x v="1"/>
    <s v="South-Eve"/>
    <n v="0.3"/>
    <n v="1999.0949999999998"/>
  </r>
  <r>
    <n v="1004"/>
    <d v="2023-06-28T00:00:00"/>
    <x v="0"/>
    <s v="West"/>
    <n v="8003.1"/>
    <n v="38"/>
    <s v="Furniture"/>
    <n v="4881.63"/>
    <n v="5088.0600000000004"/>
    <x v="0"/>
    <n v="0.16"/>
    <s v="Credit Card"/>
    <x v="1"/>
    <s v="West-Bob"/>
    <n v="0.16"/>
    <n v="6722.6040000000003"/>
  </r>
  <r>
    <n v="1010"/>
    <d v="2023-03-29T00:00:00"/>
    <x v="4"/>
    <s v="South"/>
    <n v="3329.91"/>
    <n v="49"/>
    <s v="Food"/>
    <n v="1150.3"/>
    <n v="1306.02"/>
    <x v="1"/>
    <n v="0.06"/>
    <s v="Credit Card"/>
    <x v="1"/>
    <s v="South-Alice"/>
    <n v="0.06"/>
    <n v="3130.1153999999997"/>
  </r>
  <r>
    <n v="1056"/>
    <d v="2023-02-10T00:00:00"/>
    <x v="0"/>
    <s v="West"/>
    <n v="3063.9"/>
    <n v="42"/>
    <s v="Furniture"/>
    <n v="1080.1199999999999"/>
    <n v="1424.1699999999901"/>
    <x v="1"/>
    <n v="0.1"/>
    <s v="Cash"/>
    <x v="0"/>
    <s v="West-Bob"/>
    <n v="0.1"/>
    <n v="2757.51"/>
  </r>
  <r>
    <n v="1017"/>
    <d v="2023-03-17T00:00:00"/>
    <x v="0"/>
    <s v="North"/>
    <n v="2401.81"/>
    <n v="28"/>
    <s v="Clothing"/>
    <n v="3780.91"/>
    <n v="3892.73"/>
    <x v="0"/>
    <n v="0.1"/>
    <s v="Cash"/>
    <x v="1"/>
    <s v="North-Bob"/>
    <n v="0.1"/>
    <n v="2161.6289999999999"/>
  </r>
  <r>
    <n v="1074"/>
    <d v="2023-02-15T00:00:00"/>
    <x v="0"/>
    <s v="West"/>
    <n v="1383.82"/>
    <n v="1"/>
    <s v="Furniture"/>
    <n v="1304.23"/>
    <n v="1705.71"/>
    <x v="0"/>
    <n v="0.01"/>
    <s v="Cash"/>
    <x v="1"/>
    <s v="West-Bob"/>
    <n v="0.01"/>
    <n v="1369.9818"/>
  </r>
  <r>
    <n v="1017"/>
    <d v="2023-06-09T00:00:00"/>
    <x v="2"/>
    <s v="East"/>
    <n v="2638.98"/>
    <n v="35"/>
    <s v="Furniture"/>
    <n v="4480.63"/>
    <n v="4884.12"/>
    <x v="1"/>
    <n v="0.04"/>
    <s v="Cash"/>
    <x v="0"/>
    <s v="East-Charlie"/>
    <n v="0.04"/>
    <n v="2533.4207999999999"/>
  </r>
  <r>
    <n v="1084"/>
    <d v="2023-03-21T00:00:00"/>
    <x v="3"/>
    <s v="South"/>
    <n v="3617.67"/>
    <n v="40"/>
    <s v="Food"/>
    <n v="2890.95"/>
    <n v="3104.43"/>
    <x v="1"/>
    <n v="0.21"/>
    <s v="Bank Transfer"/>
    <x v="0"/>
    <s v="South-Eve"/>
    <n v="0.21"/>
    <n v="2857.9593"/>
  </r>
  <r>
    <n v="1088"/>
    <d v="2023-11-06T00:00:00"/>
    <x v="1"/>
    <s v="South"/>
    <n v="6772.54"/>
    <n v="8"/>
    <s v="Food"/>
    <n v="1786.35"/>
    <n v="1935.29"/>
    <x v="1"/>
    <n v="0.04"/>
    <s v="Cash"/>
    <x v="0"/>
    <s v="South-David"/>
    <n v="0.04"/>
    <n v="6501.6383999999998"/>
  </r>
  <r>
    <n v="1069"/>
    <d v="2023-03-27T00:00:00"/>
    <x v="1"/>
    <s v="East"/>
    <n v="719.39"/>
    <n v="47"/>
    <s v="Electronics"/>
    <n v="4171.83"/>
    <n v="4320.93"/>
    <x v="1"/>
    <n v="7.0000000000000007E-2"/>
    <s v="Cash"/>
    <x v="0"/>
    <s v="East-David"/>
    <n v="7.0000000000000007E-2"/>
    <n v="669.03269999999998"/>
  </r>
  <r>
    <n v="1034"/>
    <d v="2023-04-02T00:00:00"/>
    <x v="2"/>
    <s v="West"/>
    <n v="2184.02"/>
    <n v="7"/>
    <s v="Electronics"/>
    <n v="2492.36"/>
    <n v="2738.68"/>
    <x v="0"/>
    <n v="0.11"/>
    <s v="Cash"/>
    <x v="0"/>
    <s v="West-Charlie"/>
    <n v="0.11"/>
    <n v="1943.7778000000001"/>
  </r>
  <r>
    <n v="1006"/>
    <d v="2023-05-28T00:00:00"/>
    <x v="0"/>
    <s v="North"/>
    <n v="8109.33"/>
    <n v="11"/>
    <s v="Food"/>
    <n v="4562.58"/>
    <n v="4925.17"/>
    <x v="1"/>
    <n v="0.23"/>
    <s v="Cash"/>
    <x v="1"/>
    <s v="North-Bob"/>
    <n v="0.23"/>
    <n v="6244.1841000000004"/>
  </r>
  <r>
    <n v="1053"/>
    <d v="2023-06-10T00:00:00"/>
    <x v="2"/>
    <s v="East"/>
    <n v="1554.53"/>
    <n v="39"/>
    <s v="Furniture"/>
    <n v="4643.67"/>
    <n v="4829.5200000000004"/>
    <x v="0"/>
    <n v="0.17"/>
    <s v="Bank Transfer"/>
    <x v="0"/>
    <s v="East-Charlie"/>
    <n v="0.17"/>
    <n v="1290.2599"/>
  </r>
  <r>
    <n v="1066"/>
    <d v="2023-07-21T00:00:00"/>
    <x v="2"/>
    <s v="East"/>
    <n v="3492.19"/>
    <n v="4"/>
    <s v="Furniture"/>
    <n v="868.83"/>
    <n v="1177.75"/>
    <x v="0"/>
    <n v="0.21"/>
    <s v="Credit Card"/>
    <x v="1"/>
    <s v="East-Charlie"/>
    <n v="0.21"/>
    <n v="2758.8301000000001"/>
  </r>
  <r>
    <n v="1077"/>
    <d v="2023-08-30T00:00:00"/>
    <x v="4"/>
    <s v="West"/>
    <n v="8660.1200000000008"/>
    <n v="25"/>
    <s v="Electronics"/>
    <n v="61.5"/>
    <n v="258.91999999999899"/>
    <x v="1"/>
    <n v="0.17"/>
    <s v="Credit Card"/>
    <x v="0"/>
    <s v="West-Alice"/>
    <n v="0.17"/>
    <n v="7187.8996000000006"/>
  </r>
  <r>
    <n v="1043"/>
    <d v="2023-12-19T00:00:00"/>
    <x v="3"/>
    <s v="South"/>
    <n v="1633.76"/>
    <n v="12"/>
    <s v="Electronics"/>
    <n v="4920.46"/>
    <n v="5079.68"/>
    <x v="1"/>
    <n v="0.21"/>
    <s v="Credit Card"/>
    <x v="1"/>
    <s v="South-Eve"/>
    <n v="0.21"/>
    <n v="1290.6704"/>
  </r>
  <r>
    <n v="1075"/>
    <d v="2023-01-02T00:00:00"/>
    <x v="1"/>
    <s v="West"/>
    <n v="919.09"/>
    <n v="26"/>
    <s v="Electronics"/>
    <n v="4535.38"/>
    <n v="4557.5600000000004"/>
    <x v="1"/>
    <n v="0"/>
    <s v="Credit Card"/>
    <x v="0"/>
    <s v="West-David"/>
    <n v="0"/>
    <n v="919.09"/>
  </r>
  <r>
    <n v="1023"/>
    <d v="2023-08-13T00:00:00"/>
    <x v="0"/>
    <s v="East"/>
    <n v="4896.93"/>
    <n v="38"/>
    <s v="Clothing"/>
    <n v="324.45"/>
    <n v="336.37"/>
    <x v="1"/>
    <n v="0.28000000000000003"/>
    <s v="Credit Card"/>
    <x v="1"/>
    <s v="East-Bob"/>
    <n v="0.28000000000000003"/>
    <n v="3525.7896000000001"/>
  </r>
  <r>
    <n v="1055"/>
    <d v="2023-10-16T00:00:00"/>
    <x v="1"/>
    <s v="East"/>
    <n v="3093.95"/>
    <n v="46"/>
    <s v="Clothing"/>
    <n v="4173.5200000000004"/>
    <n v="4294.8500000000004"/>
    <x v="0"/>
    <n v="0.03"/>
    <s v="Bank Transfer"/>
    <x v="1"/>
    <s v="East-David"/>
    <n v="0.03"/>
    <n v="3001.1315"/>
  </r>
  <r>
    <n v="1080"/>
    <d v="2023-08-21T00:00:00"/>
    <x v="1"/>
    <s v="South"/>
    <n v="5677.74"/>
    <n v="12"/>
    <s v="Electronics"/>
    <n v="2316.13"/>
    <n v="2525.27"/>
    <x v="0"/>
    <n v="0.12"/>
    <s v="Credit Card"/>
    <x v="1"/>
    <s v="South-David"/>
    <n v="0.12"/>
    <n v="4996.4111999999996"/>
  </r>
  <r>
    <n v="1095"/>
    <d v="2023-03-18T00:00:00"/>
    <x v="3"/>
    <s v="South"/>
    <n v="8057.67"/>
    <n v="43"/>
    <s v="Furniture"/>
    <n v="1331.86"/>
    <n v="1758.98"/>
    <x v="0"/>
    <n v="0.23"/>
    <s v="Bank Transfer"/>
    <x v="1"/>
    <s v="South-Eve"/>
    <n v="0.23"/>
    <n v="6204.4058999999997"/>
  </r>
  <r>
    <n v="1075"/>
    <d v="2023-04-26T00:00:00"/>
    <x v="1"/>
    <s v="South"/>
    <n v="1457.77"/>
    <n v="37"/>
    <s v="Electronics"/>
    <n v="4399.8"/>
    <n v="4801.0600000000004"/>
    <x v="1"/>
    <n v="0.13"/>
    <s v="Bank Transfer"/>
    <x v="1"/>
    <s v="South-David"/>
    <n v="0.13"/>
    <n v="1268.2599"/>
  </r>
  <r>
    <n v="1016"/>
    <d v="2023-06-03T00:00:00"/>
    <x v="1"/>
    <s v="West"/>
    <n v="5848.92"/>
    <n v="46"/>
    <s v="Clothing"/>
    <n v="1023.5"/>
    <n v="1164.4100000000001"/>
    <x v="0"/>
    <n v="0.28000000000000003"/>
    <s v="Credit Card"/>
    <x v="1"/>
    <s v="West-David"/>
    <n v="0.28000000000000003"/>
    <n v="4211.2223999999997"/>
  </r>
  <r>
    <n v="1008"/>
    <d v="2023-04-13T00:00:00"/>
    <x v="2"/>
    <s v="South"/>
    <n v="5104.54"/>
    <n v="24"/>
    <s v="Furniture"/>
    <n v="4739.13"/>
    <n v="4868.95"/>
    <x v="1"/>
    <n v="0.14000000000000001"/>
    <s v="Credit Card"/>
    <x v="1"/>
    <s v="South-Charlie"/>
    <n v="0.14000000000000001"/>
    <n v="4389.9044000000004"/>
  </r>
  <r>
    <n v="1004"/>
    <d v="2023-07-13T00:00:00"/>
    <x v="3"/>
    <s v="East"/>
    <n v="1526.38"/>
    <n v="16"/>
    <s v="Clothing"/>
    <n v="1067.83"/>
    <n v="1189.22"/>
    <x v="0"/>
    <n v="0.26"/>
    <s v="Credit Card"/>
    <x v="1"/>
    <s v="East-Eve"/>
    <n v="0.26"/>
    <n v="1129.5212000000001"/>
  </r>
  <r>
    <n v="1004"/>
    <d v="2023-06-15T00:00:00"/>
    <x v="4"/>
    <s v="East"/>
    <n v="6277.59"/>
    <n v="13"/>
    <s v="Furniture"/>
    <n v="3087.73"/>
    <n v="3263.96"/>
    <x v="1"/>
    <n v="0.24"/>
    <s v="Cash"/>
    <x v="1"/>
    <s v="East-Alice"/>
    <n v="0.24"/>
    <n v="4770.9683999999997"/>
  </r>
  <r>
    <n v="1056"/>
    <d v="2023-12-25T00:00:00"/>
    <x v="0"/>
    <s v="North"/>
    <n v="2809.04"/>
    <n v="25"/>
    <s v="Clothing"/>
    <n v="1154.28"/>
    <n v="1408.4"/>
    <x v="0"/>
    <n v="0.28999999999999998"/>
    <s v="Bank Transfer"/>
    <x v="1"/>
    <s v="North-Bob"/>
    <n v="0.28999999999999998"/>
    <n v="1994.4183999999998"/>
  </r>
  <r>
    <n v="1025"/>
    <d v="2023-03-31T00:00:00"/>
    <x v="1"/>
    <s v="West"/>
    <n v="4929.5600000000004"/>
    <n v="4"/>
    <s v="Furniture"/>
    <n v="2751.06"/>
    <n v="2976.0099999999902"/>
    <x v="0"/>
    <n v="0.28000000000000003"/>
    <s v="Credit Card"/>
    <x v="0"/>
    <s v="West-David"/>
    <n v="0.28000000000000003"/>
    <n v="3549.2832000000003"/>
  </r>
  <r>
    <n v="1067"/>
    <d v="2023-06-23T00:00:00"/>
    <x v="0"/>
    <s v="North"/>
    <n v="914.5"/>
    <n v="11"/>
    <s v="Furniture"/>
    <n v="3435.68"/>
    <n v="3552.6299999999901"/>
    <x v="1"/>
    <n v="0.27"/>
    <s v="Cash"/>
    <x v="1"/>
    <s v="North-Bob"/>
    <n v="0.27"/>
    <n v="667.58500000000004"/>
  </r>
  <r>
    <n v="1096"/>
    <d v="2023-05-02T00:00:00"/>
    <x v="4"/>
    <s v="East"/>
    <n v="4649.88"/>
    <n v="32"/>
    <s v="Furniture"/>
    <n v="991.63"/>
    <n v="1065.55"/>
    <x v="0"/>
    <n v="0.22"/>
    <s v="Bank Transfer"/>
    <x v="1"/>
    <s v="East-Alice"/>
    <n v="0.22"/>
    <n v="3626.9064000000003"/>
  </r>
  <r>
    <n v="1067"/>
    <d v="2023-05-23T00:00:00"/>
    <x v="0"/>
    <s v="North"/>
    <n v="3133.99"/>
    <n v="49"/>
    <s v="Furniture"/>
    <n v="2628.38"/>
    <n v="2644.54"/>
    <x v="0"/>
    <n v="0.11"/>
    <s v="Cash"/>
    <x v="0"/>
    <s v="North-Bob"/>
    <n v="0.11"/>
    <n v="2789.2511"/>
  </r>
  <r>
    <n v="1027"/>
    <d v="2023-04-16T00:00:00"/>
    <x v="4"/>
    <s v="East"/>
    <n v="8241.57"/>
    <n v="7"/>
    <s v="Food"/>
    <n v="2371.85"/>
    <n v="2457.29"/>
    <x v="1"/>
    <n v="0.03"/>
    <s v="Cash"/>
    <x v="1"/>
    <s v="East-Alice"/>
    <n v="0.03"/>
    <n v="7994.3228999999992"/>
  </r>
  <r>
    <n v="1093"/>
    <d v="2023-11-01T00:00:00"/>
    <x v="2"/>
    <s v="North"/>
    <n v="664.09"/>
    <n v="46"/>
    <s v="Clothing"/>
    <n v="401.64"/>
    <n v="757.26"/>
    <x v="1"/>
    <n v="0.21"/>
    <s v="Credit Card"/>
    <x v="1"/>
    <s v="North-Charlie"/>
    <n v="0.21"/>
    <n v="524.63110000000006"/>
  </r>
  <r>
    <n v="1032"/>
    <d v="2023-12-26T00:00:00"/>
    <x v="1"/>
    <s v="South"/>
    <n v="4244.21"/>
    <n v="11"/>
    <s v="Clothing"/>
    <n v="4100.62"/>
    <n v="4230"/>
    <x v="1"/>
    <n v="0.28999999999999998"/>
    <s v="Bank Transfer"/>
    <x v="0"/>
    <s v="South-David"/>
    <n v="0.28999999999999998"/>
    <n v="3013.3890999999999"/>
  </r>
  <r>
    <n v="1050"/>
    <d v="2023-11-13T00:00:00"/>
    <x v="4"/>
    <s v="North"/>
    <n v="4638.47"/>
    <n v="28"/>
    <s v="Food"/>
    <n v="1711.63"/>
    <n v="1951.24"/>
    <x v="1"/>
    <n v="0.22"/>
    <s v="Cash"/>
    <x v="0"/>
    <s v="North-Alice"/>
    <n v="0.22"/>
    <n v="3618.0066000000002"/>
  </r>
  <r>
    <n v="1061"/>
    <d v="2023-05-03T00:00:00"/>
    <x v="0"/>
    <s v="South"/>
    <n v="7277.56"/>
    <n v="41"/>
    <s v="Furniture"/>
    <n v="2894.18"/>
    <n v="3193.92"/>
    <x v="1"/>
    <n v="0.28000000000000003"/>
    <s v="Bank Transfer"/>
    <x v="1"/>
    <s v="South-Bob"/>
    <n v="0.28000000000000003"/>
    <n v="5239.8432000000003"/>
  </r>
  <r>
    <n v="1051"/>
    <d v="2023-01-09T00:00:00"/>
    <x v="1"/>
    <s v="South"/>
    <n v="5785.45"/>
    <n v="23"/>
    <s v="Furniture"/>
    <n v="2598.1799999999998"/>
    <n v="3042.73"/>
    <x v="0"/>
    <n v="0.24"/>
    <s v="Credit Card"/>
    <x v="0"/>
    <s v="South-David"/>
    <n v="0.24"/>
    <n v="4396.942"/>
  </r>
  <r>
    <n v="1019"/>
    <d v="2023-09-19T00:00:00"/>
    <x v="2"/>
    <s v="West"/>
    <n v="6705.4"/>
    <n v="45"/>
    <s v="Clothing"/>
    <n v="2590.64"/>
    <n v="3036.18"/>
    <x v="1"/>
    <n v="0.05"/>
    <s v="Bank Transfer"/>
    <x v="1"/>
    <s v="West-Charlie"/>
    <n v="0.05"/>
    <n v="6370.1299999999992"/>
  </r>
  <r>
    <n v="1021"/>
    <d v="2023-03-14T00:00:00"/>
    <x v="1"/>
    <s v="South"/>
    <n v="7792.79"/>
    <n v="23"/>
    <s v="Food"/>
    <n v="580.75"/>
    <n v="956.16"/>
    <x v="0"/>
    <n v="7.0000000000000007E-2"/>
    <s v="Cash"/>
    <x v="1"/>
    <s v="South-David"/>
    <n v="7.0000000000000007E-2"/>
    <n v="7247.2946999999995"/>
  </r>
  <r>
    <n v="1005"/>
    <d v="2023-12-25T00:00:00"/>
    <x v="4"/>
    <s v="South"/>
    <n v="8635.81"/>
    <n v="28"/>
    <s v="Furniture"/>
    <n v="2146.2399999999998"/>
    <n v="2173.4699999999998"/>
    <x v="0"/>
    <n v="0.1"/>
    <s v="Cash"/>
    <x v="1"/>
    <s v="South-Alice"/>
    <n v="0.1"/>
    <n v="7772.2289999999994"/>
  </r>
  <r>
    <n v="1082"/>
    <d v="2023-08-11T00:00:00"/>
    <x v="2"/>
    <s v="North"/>
    <n v="3207.37"/>
    <n v="43"/>
    <s v="Furniture"/>
    <n v="2289.2199999999998"/>
    <n v="2581"/>
    <x v="1"/>
    <n v="0.05"/>
    <s v="Bank Transfer"/>
    <x v="0"/>
    <s v="North-Charlie"/>
    <n v="0.05"/>
    <n v="3047.0014999999999"/>
  </r>
  <r>
    <n v="1092"/>
    <d v="2023-02-10T00:00:00"/>
    <x v="0"/>
    <s v="East"/>
    <n v="5426.42"/>
    <n v="47"/>
    <s v="Furniture"/>
    <n v="3681.53"/>
    <n v="4076.96"/>
    <x v="0"/>
    <n v="0.17"/>
    <s v="Cash"/>
    <x v="1"/>
    <s v="East-Bob"/>
    <n v="0.17"/>
    <n v="4503.9286000000002"/>
  </r>
  <r>
    <n v="1042"/>
    <d v="2023-07-23T00:00:00"/>
    <x v="2"/>
    <s v="West"/>
    <n v="8417.07"/>
    <n v="26"/>
    <s v="Electronics"/>
    <n v="4208.09"/>
    <n v="4226.5600000000004"/>
    <x v="0"/>
    <n v="0.28999999999999998"/>
    <s v="Cash"/>
    <x v="1"/>
    <s v="West-Charlie"/>
    <n v="0.28999999999999998"/>
    <n v="5976.1196999999993"/>
  </r>
  <r>
    <n v="1061"/>
    <d v="2023-09-21T00:00:00"/>
    <x v="2"/>
    <s v="South"/>
    <n v="9895.57"/>
    <n v="25"/>
    <s v="Food"/>
    <n v="2747.66"/>
    <n v="3027.0099999999902"/>
    <x v="1"/>
    <n v="0.23"/>
    <s v="Cash"/>
    <x v="0"/>
    <s v="South-Charlie"/>
    <n v="0.23"/>
    <n v="7619.5888999999997"/>
  </r>
  <r>
    <n v="1022"/>
    <d v="2023-11-24T00:00:00"/>
    <x v="3"/>
    <s v="West"/>
    <n v="8906.24"/>
    <n v="29"/>
    <s v="Furniture"/>
    <n v="479.58"/>
    <n v="909.88"/>
    <x v="0"/>
    <n v="0.13"/>
    <s v="Credit Card"/>
    <x v="1"/>
    <s v="West-Eve"/>
    <n v="0.13"/>
    <n v="7748.4287999999997"/>
  </r>
  <r>
    <n v="1021"/>
    <d v="2023-06-27T00:00:00"/>
    <x v="2"/>
    <s v="North"/>
    <n v="3777.53"/>
    <n v="19"/>
    <s v="Electronics"/>
    <n v="1222.4000000000001"/>
    <n v="1464.71"/>
    <x v="1"/>
    <n v="0"/>
    <s v="Credit Card"/>
    <x v="1"/>
    <s v="North-Charlie"/>
    <n v="0"/>
    <n v="3777.53"/>
  </r>
  <r>
    <n v="1070"/>
    <d v="2023-12-14T00:00:00"/>
    <x v="2"/>
    <s v="South"/>
    <n v="2032.15"/>
    <n v="33"/>
    <s v="Food"/>
    <n v="866.42"/>
    <n v="878.43"/>
    <x v="1"/>
    <n v="0.09"/>
    <s v="Cash"/>
    <x v="1"/>
    <s v="South-Charlie"/>
    <n v="0.09"/>
    <n v="1849.2565000000002"/>
  </r>
  <r>
    <n v="1001"/>
    <d v="2023-11-14T00:00:00"/>
    <x v="1"/>
    <s v="North"/>
    <n v="4944.99"/>
    <n v="36"/>
    <s v="Furniture"/>
    <n v="666.84"/>
    <n v="682.24"/>
    <x v="1"/>
    <n v="0.16"/>
    <s v="Bank Transfer"/>
    <x v="1"/>
    <s v="North-David"/>
    <n v="0.16"/>
    <n v="4153.7915999999996"/>
  </r>
  <r>
    <n v="1005"/>
    <d v="2023-03-25T00:00:00"/>
    <x v="0"/>
    <s v="West"/>
    <n v="7442.25"/>
    <n v="14"/>
    <s v="Clothing"/>
    <n v="1861.2"/>
    <n v="2075.35"/>
    <x v="0"/>
    <n v="0.1"/>
    <s v="Credit Card"/>
    <x v="1"/>
    <s v="West-Bob"/>
    <n v="0.1"/>
    <n v="6698.0250000000005"/>
  </r>
  <r>
    <n v="1012"/>
    <d v="2023-11-14T00:00:00"/>
    <x v="1"/>
    <s v="North"/>
    <n v="4976.43"/>
    <n v="14"/>
    <s v="Electronics"/>
    <n v="1185.5"/>
    <n v="1271.45"/>
    <x v="0"/>
    <n v="0.03"/>
    <s v="Bank Transfer"/>
    <x v="1"/>
    <s v="North-David"/>
    <n v="0.03"/>
    <n v="4827.1370999999999"/>
  </r>
  <r>
    <n v="1090"/>
    <d v="2023-04-21T00:00:00"/>
    <x v="1"/>
    <s v="West"/>
    <n v="4883.49"/>
    <n v="35"/>
    <s v="Electronics"/>
    <n v="1130.5999999999999"/>
    <n v="1466.1799999999901"/>
    <x v="0"/>
    <n v="0.13"/>
    <s v="Cash"/>
    <x v="0"/>
    <s v="West-David"/>
    <n v="0.13"/>
    <n v="4248.6363000000001"/>
  </r>
  <r>
    <n v="1046"/>
    <d v="2023-09-08T00:00:00"/>
    <x v="4"/>
    <s v="North"/>
    <n v="8398.48"/>
    <n v="30"/>
    <s v="Furniture"/>
    <n v="320.73"/>
    <n v="678.04"/>
    <x v="0"/>
    <n v="0.08"/>
    <s v="Cash"/>
    <x v="1"/>
    <s v="North-Alice"/>
    <n v="0.08"/>
    <n v="7726.6016"/>
  </r>
  <r>
    <n v="1034"/>
    <d v="2023-01-07T00:00:00"/>
    <x v="1"/>
    <s v="West"/>
    <n v="3677.9"/>
    <n v="28"/>
    <s v="Furniture"/>
    <n v="137.47"/>
    <n v="234.63"/>
    <x v="1"/>
    <n v="0.27"/>
    <s v="Bank Transfer"/>
    <x v="1"/>
    <s v="West-David"/>
    <n v="0.27"/>
    <n v="2684.8670000000002"/>
  </r>
  <r>
    <n v="1049"/>
    <d v="2023-03-25T00:00:00"/>
    <x v="3"/>
    <s v="East"/>
    <n v="8611.9699999999993"/>
    <n v="17"/>
    <s v="Electronics"/>
    <n v="558.70000000000005"/>
    <n v="1004.08"/>
    <x v="0"/>
    <n v="0.03"/>
    <s v="Credit Card"/>
    <x v="0"/>
    <s v="East-Eve"/>
    <n v="0.03"/>
    <n v="8353.6108999999997"/>
  </r>
  <r>
    <n v="1078"/>
    <d v="2023-07-27T00:00:00"/>
    <x v="3"/>
    <s v="North"/>
    <n v="4127.37"/>
    <n v="3"/>
    <s v="Clothing"/>
    <n v="902.38"/>
    <n v="1128.9100000000001"/>
    <x v="1"/>
    <n v="0.01"/>
    <s v="Bank Transfer"/>
    <x v="1"/>
    <s v="North-Eve"/>
    <n v="0.01"/>
    <n v="4086.0962999999997"/>
  </r>
  <r>
    <n v="1090"/>
    <d v="2023-11-10T00:00:00"/>
    <x v="4"/>
    <s v="North"/>
    <n v="3349.51"/>
    <n v="16"/>
    <s v="Clothing"/>
    <n v="2183.37"/>
    <n v="2263.3599999999901"/>
    <x v="0"/>
    <n v="0"/>
    <s v="Bank Transfer"/>
    <x v="1"/>
    <s v="North-Alice"/>
    <n v="0"/>
    <n v="3349.51"/>
  </r>
  <r>
    <n v="1045"/>
    <d v="2023-01-22T00:00:00"/>
    <x v="0"/>
    <s v="East"/>
    <n v="4594.5"/>
    <n v="46"/>
    <s v="Food"/>
    <n v="2577.08"/>
    <n v="2961.56"/>
    <x v="0"/>
    <n v="0.1"/>
    <s v="Cash"/>
    <x v="0"/>
    <s v="East-Bob"/>
    <n v="0.1"/>
    <n v="4135.05"/>
  </r>
  <r>
    <n v="1027"/>
    <d v="2023-01-03T00:00:00"/>
    <x v="0"/>
    <s v="East"/>
    <n v="7648.22"/>
    <n v="30"/>
    <s v="Furniture"/>
    <n v="745.93"/>
    <n v="1143.02"/>
    <x v="0"/>
    <n v="0.2"/>
    <s v="Credit Card"/>
    <x v="0"/>
    <s v="East-Bob"/>
    <n v="0.2"/>
    <n v="6118.5760000000009"/>
  </r>
  <r>
    <n v="1073"/>
    <d v="2023-05-07T00:00:00"/>
    <x v="1"/>
    <s v="North"/>
    <n v="1347.42"/>
    <n v="29"/>
    <s v="Clothing"/>
    <n v="2152.6799999999998"/>
    <n v="2475.9299999999998"/>
    <x v="0"/>
    <n v="0.22"/>
    <s v="Bank Transfer"/>
    <x v="0"/>
    <s v="North-David"/>
    <n v="0.22"/>
    <n v="1050.9876000000002"/>
  </r>
  <r>
    <n v="1026"/>
    <d v="2023-10-24T00:00:00"/>
    <x v="1"/>
    <s v="East"/>
    <n v="2044.55"/>
    <n v="45"/>
    <s v="Food"/>
    <n v="1741.66"/>
    <n v="2169.86"/>
    <x v="0"/>
    <n v="0.14000000000000001"/>
    <s v="Credit Card"/>
    <x v="0"/>
    <s v="East-David"/>
    <n v="0.14000000000000001"/>
    <n v="1758.3129999999999"/>
  </r>
  <r>
    <n v="1047"/>
    <d v="2023-07-07T00:00:00"/>
    <x v="1"/>
    <s v="South"/>
    <n v="9519.2999999999993"/>
    <n v="15"/>
    <s v="Clothing"/>
    <n v="957.95"/>
    <n v="1329.26"/>
    <x v="1"/>
    <n v="0.21"/>
    <s v="Cash"/>
    <x v="0"/>
    <s v="South-David"/>
    <n v="0.21"/>
    <n v="7520.2469999999994"/>
  </r>
  <r>
    <n v="1086"/>
    <d v="2023-12-28T00:00:00"/>
    <x v="0"/>
    <s v="West"/>
    <n v="1837.37"/>
    <n v="46"/>
    <s v="Furniture"/>
    <n v="83.86"/>
    <n v="526.14"/>
    <x v="0"/>
    <n v="0.11"/>
    <s v="Credit Card"/>
    <x v="0"/>
    <s v="West-Bob"/>
    <n v="0.11"/>
    <n v="1635.2592999999999"/>
  </r>
  <r>
    <n v="1056"/>
    <d v="2023-01-14T00:00:00"/>
    <x v="2"/>
    <s v="West"/>
    <n v="5720.5"/>
    <n v="25"/>
    <s v="Food"/>
    <n v="2361.7399999999998"/>
    <n v="2584.35"/>
    <x v="0"/>
    <n v="0.2"/>
    <s v="Cash"/>
    <x v="0"/>
    <s v="West-Charlie"/>
    <n v="0.2"/>
    <n v="4576.4000000000005"/>
  </r>
  <r>
    <n v="1094"/>
    <d v="2023-01-12T00:00:00"/>
    <x v="3"/>
    <s v="West"/>
    <n v="5835.21"/>
    <n v="38"/>
    <s v="Food"/>
    <n v="3443.98"/>
    <n v="3820.3"/>
    <x v="0"/>
    <n v="0.01"/>
    <s v="Credit Card"/>
    <x v="1"/>
    <s v="West-Eve"/>
    <n v="0.01"/>
    <n v="5776.8579"/>
  </r>
  <r>
    <n v="1063"/>
    <d v="2023-03-28T00:00:00"/>
    <x v="2"/>
    <s v="South"/>
    <n v="4947.28"/>
    <n v="42"/>
    <s v="Food"/>
    <n v="1170.07"/>
    <n v="1669.94999999999"/>
    <x v="0"/>
    <n v="0.12"/>
    <s v="Bank Transfer"/>
    <x v="1"/>
    <s v="South-Charlie"/>
    <n v="0.12"/>
    <n v="4353.6063999999997"/>
  </r>
  <r>
    <n v="1048"/>
    <d v="2023-01-12T00:00:00"/>
    <x v="2"/>
    <s v="East"/>
    <n v="6482.98"/>
    <n v="47"/>
    <s v="Clothing"/>
    <n v="702.44"/>
    <n v="1067.6600000000001"/>
    <x v="1"/>
    <n v="0.24"/>
    <s v="Cash"/>
    <x v="1"/>
    <s v="East-Charlie"/>
    <n v="0.24"/>
    <n v="4927.0648000000001"/>
  </r>
  <r>
    <n v="1061"/>
    <d v="2023-01-25T00:00:00"/>
    <x v="0"/>
    <s v="East"/>
    <n v="2375.2800000000002"/>
    <n v="38"/>
    <s v="Furniture"/>
    <n v="4440.8599999999997"/>
    <n v="4506.8099999999904"/>
    <x v="0"/>
    <n v="0.24"/>
    <s v="Bank Transfer"/>
    <x v="0"/>
    <s v="East-Bob"/>
    <n v="0.24"/>
    <n v="1805.2128000000002"/>
  </r>
  <r>
    <n v="1081"/>
    <d v="2023-10-28T00:00:00"/>
    <x v="2"/>
    <s v="North"/>
    <n v="5571.36"/>
    <n v="23"/>
    <s v="Food"/>
    <n v="1411.37"/>
    <n v="1675.35"/>
    <x v="1"/>
    <n v="0.21"/>
    <s v="Cash"/>
    <x v="1"/>
    <s v="North-Charlie"/>
    <n v="0.21"/>
    <n v="4401.3743999999997"/>
  </r>
  <r>
    <n v="1026"/>
    <d v="2023-08-31T00:00:00"/>
    <x v="4"/>
    <s v="East"/>
    <n v="3784.52"/>
    <n v="25"/>
    <s v="Electronics"/>
    <n v="1156.8800000000001"/>
    <n v="1454.68"/>
    <x v="0"/>
    <n v="0.06"/>
    <s v="Credit Card"/>
    <x v="0"/>
    <s v="East-Alice"/>
    <n v="0.06"/>
    <n v="3557.4487999999997"/>
  </r>
  <r>
    <n v="1036"/>
    <d v="2023-05-02T00:00:00"/>
    <x v="1"/>
    <s v="North"/>
    <n v="6650.51"/>
    <n v="42"/>
    <s v="Furniture"/>
    <n v="4292.63"/>
    <n v="4387.99"/>
    <x v="1"/>
    <n v="7.0000000000000007E-2"/>
    <s v="Credit Card"/>
    <x v="1"/>
    <s v="North-David"/>
    <n v="7.0000000000000007E-2"/>
    <n v="6184.9742999999999"/>
  </r>
  <r>
    <n v="1001"/>
    <d v="2023-05-27T00:00:00"/>
    <x v="4"/>
    <s v="South"/>
    <n v="1498.11"/>
    <n v="7"/>
    <s v="Electronics"/>
    <n v="4094.68"/>
    <n v="4576.5"/>
    <x v="1"/>
    <n v="0.3"/>
    <s v="Cash"/>
    <x v="1"/>
    <s v="South-Alice"/>
    <n v="0.3"/>
    <n v="1048.6769999999999"/>
  </r>
  <r>
    <n v="1008"/>
    <d v="2023-02-24T00:00:00"/>
    <x v="3"/>
    <s v="West"/>
    <n v="5751.69"/>
    <n v="22"/>
    <s v="Electronics"/>
    <n v="2269.3200000000002"/>
    <n v="2365.35"/>
    <x v="1"/>
    <n v="0.03"/>
    <s v="Cash"/>
    <x v="1"/>
    <s v="West-Eve"/>
    <n v="0.03"/>
    <n v="5579.1392999999998"/>
  </r>
  <r>
    <n v="1099"/>
    <d v="2023-08-26T00:00:00"/>
    <x v="1"/>
    <s v="West"/>
    <n v="1934.18"/>
    <n v="17"/>
    <s v="Food"/>
    <n v="2471.73"/>
    <n v="2568.73"/>
    <x v="1"/>
    <n v="0.05"/>
    <s v="Cash"/>
    <x v="1"/>
    <s v="West-David"/>
    <n v="0.05"/>
    <n v="1837.471"/>
  </r>
  <r>
    <n v="1052"/>
    <d v="2023-12-22T00:00:00"/>
    <x v="2"/>
    <s v="West"/>
    <n v="2858.57"/>
    <n v="18"/>
    <s v="Food"/>
    <n v="1127.8599999999999"/>
    <n v="1586.29"/>
    <x v="1"/>
    <n v="0.04"/>
    <s v="Credit Card"/>
    <x v="0"/>
    <s v="West-Charlie"/>
    <n v="0.04"/>
    <n v="2744.2272000000003"/>
  </r>
  <r>
    <n v="1079"/>
    <d v="2023-06-22T00:00:00"/>
    <x v="3"/>
    <s v="East"/>
    <n v="2265.23"/>
    <n v="49"/>
    <s v="Clothing"/>
    <n v="437.59"/>
    <n v="675.54"/>
    <x v="0"/>
    <n v="0.1"/>
    <s v="Cash"/>
    <x v="0"/>
    <s v="East-Eve"/>
    <n v="0.1"/>
    <n v="2038.7070000000001"/>
  </r>
  <r>
    <n v="1047"/>
    <d v="2023-08-09T00:00:00"/>
    <x v="1"/>
    <s v="North"/>
    <n v="1910.09"/>
    <n v="41"/>
    <s v="Clothing"/>
    <n v="2888.49"/>
    <n v="2929.45"/>
    <x v="1"/>
    <n v="0.06"/>
    <s v="Cash"/>
    <x v="1"/>
    <s v="North-David"/>
    <n v="0.06"/>
    <n v="1795.4845999999998"/>
  </r>
  <r>
    <n v="1056"/>
    <d v="2023-04-29T00:00:00"/>
    <x v="2"/>
    <s v="North"/>
    <n v="8274.5400000000009"/>
    <n v="10"/>
    <s v="Clothing"/>
    <n v="536.80999999999995"/>
    <n v="839.92"/>
    <x v="0"/>
    <n v="0.15"/>
    <s v="Bank Transfer"/>
    <x v="0"/>
    <s v="North-Charlie"/>
    <n v="0.15"/>
    <n v="7033.3590000000004"/>
  </r>
  <r>
    <n v="1086"/>
    <d v="2023-11-05T00:00:00"/>
    <x v="4"/>
    <s v="South"/>
    <n v="2928.5"/>
    <n v="10"/>
    <s v="Furniture"/>
    <n v="2273.91"/>
    <n v="2578.7999999999902"/>
    <x v="1"/>
    <n v="0.14000000000000001"/>
    <s v="Cash"/>
    <x v="0"/>
    <s v="South-Alice"/>
    <n v="0.14000000000000001"/>
    <n v="2518.5099999999998"/>
  </r>
  <r>
    <n v="1014"/>
    <d v="2023-07-02T00:00:00"/>
    <x v="1"/>
    <s v="East"/>
    <n v="9278.5300000000007"/>
    <n v="7"/>
    <s v="Clothing"/>
    <n v="4705.46"/>
    <n v="4747.07"/>
    <x v="1"/>
    <n v="0.27"/>
    <s v="Bank Transfer"/>
    <x v="1"/>
    <s v="East-David"/>
    <n v="0.27"/>
    <n v="6773.3269"/>
  </r>
  <r>
    <n v="1090"/>
    <d v="2023-10-15T00:00:00"/>
    <x v="2"/>
    <s v="South"/>
    <n v="9702.27"/>
    <n v="48"/>
    <s v="Electronics"/>
    <n v="4766.53"/>
    <n v="5253.07"/>
    <x v="0"/>
    <n v="0.01"/>
    <s v="Bank Transfer"/>
    <x v="0"/>
    <s v="South-Charlie"/>
    <n v="0.01"/>
    <n v="9605.2473000000009"/>
  </r>
  <r>
    <n v="1028"/>
    <d v="2023-11-03T00:00:00"/>
    <x v="4"/>
    <s v="North"/>
    <n v="5755.48"/>
    <n v="38"/>
    <s v="Clothing"/>
    <n v="1234.69"/>
    <n v="1511.26"/>
    <x v="1"/>
    <n v="0.1"/>
    <s v="Bank Transfer"/>
    <x v="0"/>
    <s v="North-Alice"/>
    <n v="0.1"/>
    <n v="5179.9319999999998"/>
  </r>
  <r>
    <n v="1087"/>
    <d v="2023-10-27T00:00:00"/>
    <x v="3"/>
    <s v="North"/>
    <n v="1515.71"/>
    <n v="27"/>
    <s v="Food"/>
    <n v="3139.36"/>
    <n v="3423.66"/>
    <x v="1"/>
    <n v="0.18"/>
    <s v="Credit Card"/>
    <x v="0"/>
    <s v="North-Eve"/>
    <n v="0.18"/>
    <n v="1242.8822"/>
  </r>
  <r>
    <n v="1078"/>
    <d v="2023-03-23T00:00:00"/>
    <x v="3"/>
    <s v="West"/>
    <n v="3808.03"/>
    <n v="33"/>
    <s v="Clothing"/>
    <n v="2396.6799999999998"/>
    <n v="2661.54"/>
    <x v="1"/>
    <n v="0.18"/>
    <s v="Bank Transfer"/>
    <x v="0"/>
    <s v="West-Eve"/>
    <n v="0.18"/>
    <n v="3122.5846000000006"/>
  </r>
  <r>
    <n v="1088"/>
    <d v="2023-07-30T00:00:00"/>
    <x v="3"/>
    <s v="East"/>
    <n v="7997.55"/>
    <n v="1"/>
    <s v="Furniture"/>
    <n v="4384.6400000000003"/>
    <n v="4693.8999999999996"/>
    <x v="1"/>
    <n v="0.14000000000000001"/>
    <s v="Cash"/>
    <x v="1"/>
    <s v="East-Eve"/>
    <n v="0.14000000000000001"/>
    <n v="6877.893"/>
  </r>
  <r>
    <n v="1002"/>
    <d v="2023-05-30T00:00:00"/>
    <x v="3"/>
    <s v="North"/>
    <n v="3737.17"/>
    <n v="44"/>
    <s v="Furniture"/>
    <n v="1393.58"/>
    <n v="1533.09"/>
    <x v="0"/>
    <n v="0.24"/>
    <s v="Credit Card"/>
    <x v="1"/>
    <s v="North-Eve"/>
    <n v="0.24"/>
    <n v="2840.2492000000002"/>
  </r>
  <r>
    <n v="1026"/>
    <d v="2023-02-06T00:00:00"/>
    <x v="0"/>
    <s v="West"/>
    <n v="961.47"/>
    <n v="34"/>
    <s v="Electronics"/>
    <n v="68.33"/>
    <n v="219.07999999999899"/>
    <x v="1"/>
    <n v="0.02"/>
    <s v="Credit Card"/>
    <x v="0"/>
    <s v="West-Bob"/>
    <n v="0.02"/>
    <n v="942.24059999999997"/>
  </r>
  <r>
    <n v="1014"/>
    <d v="2023-12-18T00:00:00"/>
    <x v="1"/>
    <s v="East"/>
    <n v="5612.17"/>
    <n v="4"/>
    <s v="Furniture"/>
    <n v="854.68"/>
    <n v="1115.24"/>
    <x v="1"/>
    <n v="0.24"/>
    <s v="Credit Card"/>
    <x v="1"/>
    <s v="East-David"/>
    <n v="0.24"/>
    <n v="4265.2492000000002"/>
  </r>
  <r>
    <n v="1059"/>
    <d v="2023-11-08T00:00:00"/>
    <x v="1"/>
    <s v="South"/>
    <n v="8466.7000000000007"/>
    <n v="17"/>
    <s v="Clothing"/>
    <n v="1780.14"/>
    <n v="2185.42"/>
    <x v="0"/>
    <n v="0.15"/>
    <s v="Credit Card"/>
    <x v="1"/>
    <s v="South-David"/>
    <n v="0.15"/>
    <n v="7196.6950000000006"/>
  </r>
  <r>
    <n v="1056"/>
    <d v="2023-12-27T00:00:00"/>
    <x v="0"/>
    <s v="East"/>
    <n v="7979.67"/>
    <n v="4"/>
    <s v="Food"/>
    <n v="1612.82"/>
    <n v="1647.25"/>
    <x v="0"/>
    <n v="0.04"/>
    <s v="Credit Card"/>
    <x v="1"/>
    <s v="East-Bob"/>
    <n v="0.04"/>
    <n v="7660.4831999999997"/>
  </r>
  <r>
    <n v="1007"/>
    <d v="2023-02-28T00:00:00"/>
    <x v="2"/>
    <s v="East"/>
    <n v="1833.72"/>
    <n v="43"/>
    <s v="Furniture"/>
    <n v="3967.25"/>
    <n v="4272.92"/>
    <x v="1"/>
    <n v="0.27"/>
    <s v="Credit Card"/>
    <x v="0"/>
    <s v="East-Charlie"/>
    <n v="0.27"/>
    <n v="1338.6156000000001"/>
  </r>
  <r>
    <n v="1003"/>
    <d v="2023-05-11T00:00:00"/>
    <x v="2"/>
    <s v="North"/>
    <n v="6760.37"/>
    <n v="26"/>
    <s v="Electronics"/>
    <n v="3418.78"/>
    <n v="3824.1"/>
    <x v="1"/>
    <n v="0.19"/>
    <s v="Credit Card"/>
    <x v="0"/>
    <s v="North-Charlie"/>
    <n v="0.19"/>
    <n v="5475.8996999999999"/>
  </r>
  <r>
    <n v="1023"/>
    <d v="2023-07-21T00:00:00"/>
    <x v="3"/>
    <s v="North"/>
    <n v="2282.9899999999998"/>
    <n v="4"/>
    <s v="Clothing"/>
    <n v="1532.8"/>
    <n v="1619.69"/>
    <x v="0"/>
    <n v="0.05"/>
    <s v="Bank Transfer"/>
    <x v="1"/>
    <s v="North-Eve"/>
    <n v="0.05"/>
    <n v="2168.8404999999998"/>
  </r>
  <r>
    <n v="1018"/>
    <d v="2023-08-31T00:00:00"/>
    <x v="4"/>
    <s v="East"/>
    <n v="2260.25"/>
    <n v="1"/>
    <s v="Electronics"/>
    <n v="2315.83"/>
    <n v="2333.19"/>
    <x v="1"/>
    <n v="0.01"/>
    <s v="Cash"/>
    <x v="1"/>
    <s v="East-Alice"/>
    <n v="0.01"/>
    <n v="2237.6475"/>
  </r>
  <r>
    <n v="1038"/>
    <d v="2023-02-04T00:00:00"/>
    <x v="2"/>
    <s v="North"/>
    <n v="8753.31"/>
    <n v="7"/>
    <s v="Furniture"/>
    <n v="523.02"/>
    <n v="686.25"/>
    <x v="0"/>
    <n v="0.04"/>
    <s v="Cash"/>
    <x v="0"/>
    <s v="North-Charlie"/>
    <n v="0.04"/>
    <n v="8403.1775999999991"/>
  </r>
  <r>
    <n v="1099"/>
    <d v="2023-04-03T00:00:00"/>
    <x v="4"/>
    <s v="North"/>
    <n v="2571.7199999999998"/>
    <n v="30"/>
    <s v="Furniture"/>
    <n v="4495.82"/>
    <n v="4794.0099999999902"/>
    <x v="1"/>
    <n v="0.18"/>
    <s v="Bank Transfer"/>
    <x v="1"/>
    <s v="North-Alice"/>
    <n v="0.18"/>
    <n v="2108.8103999999998"/>
  </r>
  <r>
    <n v="1015"/>
    <d v="2023-07-26T00:00:00"/>
    <x v="1"/>
    <s v="North"/>
    <n v="2706.15"/>
    <n v="9"/>
    <s v="Electronics"/>
    <n v="4680.3500000000004"/>
    <n v="4758.1099999999997"/>
    <x v="0"/>
    <n v="0.05"/>
    <s v="Bank Transfer"/>
    <x v="0"/>
    <s v="North-David"/>
    <n v="0.05"/>
    <n v="2570.8424999999997"/>
  </r>
  <r>
    <n v="1064"/>
    <d v="2023-12-19T00:00:00"/>
    <x v="4"/>
    <s v="West"/>
    <n v="106.47"/>
    <n v="35"/>
    <s v="Clothing"/>
    <n v="4900.03"/>
    <n v="5118.83"/>
    <x v="0"/>
    <n v="7.0000000000000007E-2"/>
    <s v="Credit Card"/>
    <x v="1"/>
    <s v="West-Alice"/>
    <n v="7.0000000000000007E-2"/>
    <n v="99.017099999999999"/>
  </r>
  <r>
    <n v="1089"/>
    <d v="2023-11-28T00:00:00"/>
    <x v="1"/>
    <s v="West"/>
    <n v="8719.6200000000008"/>
    <n v="8"/>
    <s v="Furniture"/>
    <n v="4349.34"/>
    <n v="4629.9799999999996"/>
    <x v="0"/>
    <n v="0.01"/>
    <s v="Credit Card"/>
    <x v="0"/>
    <s v="West-David"/>
    <n v="0.01"/>
    <n v="8632.4238000000005"/>
  </r>
  <r>
    <n v="1028"/>
    <d v="2023-11-01T00:00:00"/>
    <x v="0"/>
    <s v="East"/>
    <n v="7946.69"/>
    <n v="24"/>
    <s v="Food"/>
    <n v="911.11"/>
    <n v="1214.56"/>
    <x v="1"/>
    <n v="0.22"/>
    <s v="Bank Transfer"/>
    <x v="0"/>
    <s v="East-Bob"/>
    <n v="0.22"/>
    <n v="6198.4182000000001"/>
  </r>
  <r>
    <n v="1074"/>
    <d v="2023-12-16T00:00:00"/>
    <x v="0"/>
    <s v="North"/>
    <n v="6310.56"/>
    <n v="19"/>
    <s v="Furniture"/>
    <n v="278.67"/>
    <n v="423.13"/>
    <x v="1"/>
    <n v="0.24"/>
    <s v="Credit Card"/>
    <x v="0"/>
    <s v="North-Bob"/>
    <n v="0.24"/>
    <n v="4796.0255999999999"/>
  </r>
  <r>
    <n v="1039"/>
    <d v="2023-08-01T00:00:00"/>
    <x v="3"/>
    <s v="West"/>
    <n v="7527.63"/>
    <n v="36"/>
    <s v="Clothing"/>
    <n v="2919"/>
    <n v="3125.01"/>
    <x v="1"/>
    <n v="0.24"/>
    <s v="Cash"/>
    <x v="0"/>
    <s v="West-Eve"/>
    <n v="0.24"/>
    <n v="5720.9988000000003"/>
  </r>
  <r>
    <n v="1057"/>
    <d v="2023-06-08T00:00:00"/>
    <x v="2"/>
    <s v="East"/>
    <n v="1605.28"/>
    <n v="43"/>
    <s v="Furniture"/>
    <n v="4567.3900000000003"/>
    <n v="4958.78"/>
    <x v="1"/>
    <n v="0.04"/>
    <s v="Cash"/>
    <x v="1"/>
    <s v="East-Charlie"/>
    <n v="0.04"/>
    <n v="1541.0688"/>
  </r>
  <r>
    <n v="1017"/>
    <d v="2023-01-24T00:00:00"/>
    <x v="3"/>
    <s v="North"/>
    <n v="4637.3999999999996"/>
    <n v="27"/>
    <s v="Electronics"/>
    <n v="927.89"/>
    <n v="1399.09"/>
    <x v="0"/>
    <n v="0.27"/>
    <s v="Credit Card"/>
    <x v="0"/>
    <s v="North-Eve"/>
    <n v="0.27"/>
    <n v="3385.3019999999997"/>
  </r>
  <r>
    <n v="1086"/>
    <d v="2023-10-20T00:00:00"/>
    <x v="1"/>
    <s v="South"/>
    <n v="3577.07"/>
    <n v="32"/>
    <s v="Furniture"/>
    <n v="84.86"/>
    <n v="517.17999999999995"/>
    <x v="0"/>
    <n v="0.2"/>
    <s v="Credit Card"/>
    <x v="1"/>
    <s v="South-David"/>
    <n v="0.2"/>
    <n v="2861.6560000000004"/>
  </r>
  <r>
    <n v="1090"/>
    <d v="2023-01-04T00:00:00"/>
    <x v="3"/>
    <s v="North"/>
    <n v="1028.3900000000001"/>
    <n v="14"/>
    <s v="Furniture"/>
    <n v="4037.21"/>
    <n v="4323.71"/>
    <x v="0"/>
    <n v="0.27"/>
    <s v="Credit Card"/>
    <x v="0"/>
    <s v="North-Eve"/>
    <n v="0.27"/>
    <n v="750.7247000000001"/>
  </r>
  <r>
    <n v="1044"/>
    <d v="2023-08-08T00:00:00"/>
    <x v="4"/>
    <s v="North"/>
    <n v="4912.6899999999996"/>
    <n v="18"/>
    <s v="Clothing"/>
    <n v="430.14"/>
    <n v="641.17999999999995"/>
    <x v="1"/>
    <n v="0.13"/>
    <s v="Cash"/>
    <x v="0"/>
    <s v="North-Alice"/>
    <n v="0.13"/>
    <n v="4274.0402999999997"/>
  </r>
  <r>
    <n v="1025"/>
    <d v="2023-12-30T00:00:00"/>
    <x v="1"/>
    <s v="West"/>
    <n v="9215.32"/>
    <n v="28"/>
    <s v="Electronics"/>
    <n v="2097.84"/>
    <n v="2270.9899999999998"/>
    <x v="1"/>
    <n v="0.13"/>
    <s v="Credit Card"/>
    <x v="1"/>
    <s v="West-David"/>
    <n v="0.13"/>
    <n v="8017.3283999999994"/>
  </r>
  <r>
    <n v="1017"/>
    <d v="2023-01-20T00:00:00"/>
    <x v="0"/>
    <s v="East"/>
    <n v="496.59"/>
    <n v="29"/>
    <s v="Clothing"/>
    <n v="3410.49"/>
    <n v="3481.72"/>
    <x v="1"/>
    <n v="0.24"/>
    <s v="Bank Transfer"/>
    <x v="1"/>
    <s v="East-Bob"/>
    <n v="0.24"/>
    <n v="377.40839999999997"/>
  </r>
  <r>
    <n v="1013"/>
    <d v="2023-06-01T00:00:00"/>
    <x v="2"/>
    <s v="East"/>
    <n v="2985.46"/>
    <n v="16"/>
    <s v="Furniture"/>
    <n v="1222.1500000000001"/>
    <n v="1284.3599999999999"/>
    <x v="0"/>
    <n v="0.03"/>
    <s v="Credit Card"/>
    <x v="1"/>
    <s v="East-Charlie"/>
    <n v="0.03"/>
    <n v="2895.8962000000001"/>
  </r>
  <r>
    <n v="1084"/>
    <d v="2023-02-19T00:00:00"/>
    <x v="1"/>
    <s v="West"/>
    <n v="2154.66"/>
    <n v="35"/>
    <s v="Food"/>
    <n v="465.61"/>
    <n v="812.91"/>
    <x v="1"/>
    <n v="0.16"/>
    <s v="Bank Transfer"/>
    <x v="0"/>
    <s v="West-David"/>
    <n v="0.16"/>
    <n v="1809.9143999999999"/>
  </r>
  <r>
    <n v="1025"/>
    <d v="2023-06-26T00:00:00"/>
    <x v="1"/>
    <s v="North"/>
    <n v="2457.65"/>
    <n v="47"/>
    <s v="Furniture"/>
    <n v="3861.61"/>
    <n v="3998.91"/>
    <x v="1"/>
    <n v="0.25"/>
    <s v="Credit Card"/>
    <x v="0"/>
    <s v="North-David"/>
    <n v="0.25"/>
    <n v="1843.2375000000002"/>
  </r>
  <r>
    <n v="1068"/>
    <d v="2023-04-06T00:00:00"/>
    <x v="4"/>
    <s v="South"/>
    <n v="9093.5"/>
    <n v="31"/>
    <s v="Clothing"/>
    <n v="3169.37"/>
    <n v="3304.15"/>
    <x v="0"/>
    <n v="0.25"/>
    <s v="Credit Card"/>
    <x v="1"/>
    <s v="South-Alice"/>
    <n v="0.25"/>
    <n v="6820.125"/>
  </r>
  <r>
    <n v="1010"/>
    <d v="2023-04-15T00:00:00"/>
    <x v="2"/>
    <s v="North"/>
    <n v="4733.88"/>
    <n v="4"/>
    <s v="Food"/>
    <n v="4943.03"/>
    <n v="5442.15"/>
    <x v="0"/>
    <n v="0.28999999999999998"/>
    <s v="Cash"/>
    <x v="0"/>
    <s v="North-Charlie"/>
    <n v="0.28999999999999998"/>
    <n v="3361.0547999999999"/>
  </r>
  <r>
    <n v="1067"/>
    <d v="2023-09-07T00:00:00"/>
    <x v="0"/>
    <s v="North"/>
    <n v="4716.3599999999997"/>
    <n v="37"/>
    <s v="Clothing"/>
    <n v="1754.32"/>
    <n v="1856.3999999999901"/>
    <x v="1"/>
    <n v="0.21"/>
    <s v="Bank Transfer"/>
    <x v="1"/>
    <s v="North-Bob"/>
    <n v="0.21"/>
    <n v="3725.9243999999999"/>
  </r>
  <r>
    <n v="1018"/>
    <d v="2023-04-27T00:00:00"/>
    <x v="1"/>
    <s v="South"/>
    <n v="7629.7"/>
    <n v="17"/>
    <s v="Clothing"/>
    <n v="355.72"/>
    <n v="438.27"/>
    <x v="0"/>
    <n v="0.06"/>
    <s v="Bank Transfer"/>
    <x v="0"/>
    <s v="South-David"/>
    <n v="0.06"/>
    <n v="7171.9179999999997"/>
  </r>
  <r>
    <n v="1100"/>
    <d v="2023-12-20T00:00:00"/>
    <x v="1"/>
    <s v="West"/>
    <n v="1629.47"/>
    <n v="39"/>
    <s v="Electronics"/>
    <n v="3685.03"/>
    <n v="3743.39"/>
    <x v="1"/>
    <n v="0.01"/>
    <s v="Bank Transfer"/>
    <x v="0"/>
    <s v="West-David"/>
    <n v="0.01"/>
    <n v="1613.1753000000001"/>
  </r>
  <r>
    <n v="1086"/>
    <d v="2023-08-16T00:00:00"/>
    <x v="4"/>
    <s v="East"/>
    <n v="4923.93"/>
    <n v="48"/>
    <s v="Food"/>
    <n v="2632.58"/>
    <n v="2926.68"/>
    <x v="0"/>
    <n v="0.14000000000000001"/>
    <s v="Cash"/>
    <x v="0"/>
    <s v="East-Alice"/>
    <n v="0.14000000000000001"/>
    <n v="4234.5798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5FA6D-7E46-4DDE-8835-099AD7155242}" name="PivotTable10" cacheId="64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E20:F23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9" showAll="0"/>
    <pivotField showAll="0"/>
    <pivotField showAll="0"/>
    <pivotField showAll="0"/>
    <pivotField numFmtId="9" showAll="0"/>
    <pivotField dataField="1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مجموع من Net_Revenu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4678D-2EED-474E-8473-40B2E0992495}" name="PivotTable9" cacheId="64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D6:G13" firstHeaderRow="1" firstDataRow="2" firstDataCol="1"/>
  <pivotFields count="16">
    <pivotField showAll="0"/>
    <pivotField numFmtId="14"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Col" showAll="0">
      <items count="3">
        <item x="0"/>
        <item x="1"/>
        <item t="default"/>
      </items>
    </pivotField>
    <pivotField showAll="0"/>
    <pivotField numFmtId="9"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مجموع من Net_Revenue" fld="15" baseField="0" baseItem="0" numFmtId="165"/>
  </dataFields>
  <formats count="16">
    <format dxfId="17">
      <pivotArea type="all" dataOnly="0" outline="0" fieldPosition="0"/>
    </format>
    <format dxfId="18">
      <pivotArea dataOnly="0" labelOnly="1" outline="0" axis="axisValues" fieldPosition="0"/>
    </format>
    <format dxfId="19">
      <pivotArea type="all" dataOnly="0" outline="0" fieldPosition="0"/>
    </format>
    <format dxfId="20">
      <pivotArea outline="0" fieldPosition="0">
        <references count="1">
          <reference field="4294967294" count="1">
            <x v="0"/>
          </reference>
        </references>
      </pivotArea>
    </format>
    <format dxfId="21">
      <pivotArea type="all" dataOnly="0" outline="0" fieldPosition="0"/>
    </format>
    <format dxfId="22">
      <pivotArea type="all" dataOnly="0" outline="0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12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12" count="0"/>
        </references>
      </pivotArea>
    </format>
    <format dxfId="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405A7-0FEA-4C5F-BFF4-2726BF0C339E}" name="PivotTable2" cacheId="53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I8:K13" firstHeaderRow="0" firstDataRow="1" firstDataCol="1"/>
  <pivotFields count="18">
    <pivotField showAll="0"/>
    <pivotField numFmtId="14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showAll="0">
      <items count="32">
        <item x="10"/>
        <item x="30"/>
        <item x="3"/>
        <item x="25"/>
        <item x="13"/>
        <item x="8"/>
        <item x="16"/>
        <item x="15"/>
        <item x="4"/>
        <item x="0"/>
        <item x="22"/>
        <item x="1"/>
        <item x="7"/>
        <item x="23"/>
        <item x="6"/>
        <item x="21"/>
        <item x="26"/>
        <item x="18"/>
        <item x="12"/>
        <item x="24"/>
        <item x="2"/>
        <item x="5"/>
        <item x="17"/>
        <item x="9"/>
        <item x="27"/>
        <item x="28"/>
        <item x="14"/>
        <item x="29"/>
        <item x="20"/>
        <item x="11"/>
        <item x="19"/>
        <item t="default"/>
      </items>
    </pivotField>
    <pivotField showAll="0"/>
    <pivotField showAll="0"/>
    <pivotField showAll="0"/>
    <pivotField dataField="1" numFmtId="2" showAll="0" sumSubtotal="1">
      <items count="101">
        <item x="95"/>
        <item x="47"/>
        <item x="29"/>
        <item x="82"/>
        <item x="41"/>
        <item x="6"/>
        <item x="25"/>
        <item x="66"/>
        <item x="31"/>
        <item x="26"/>
        <item x="42"/>
        <item x="40"/>
        <item x="80"/>
        <item x="92"/>
        <item x="17"/>
        <item x="61"/>
        <item x="99"/>
        <item x="71"/>
        <item x="76"/>
        <item x="58"/>
        <item x="74"/>
        <item x="14"/>
        <item x="28"/>
        <item x="22"/>
        <item x="59"/>
        <item x="10"/>
        <item x="79"/>
        <item x="3"/>
        <item x="16"/>
        <item x="69"/>
        <item x="90"/>
        <item x="48"/>
        <item x="30"/>
        <item x="23"/>
        <item x="53"/>
        <item x="43"/>
        <item x="5"/>
        <item x="19"/>
        <item x="24"/>
        <item x="20"/>
        <item x="64"/>
        <item x="37"/>
        <item x="93"/>
        <item x="46"/>
        <item x="62"/>
        <item x="97"/>
        <item x="4"/>
        <item x="70"/>
        <item x="33"/>
        <item x="98"/>
        <item x="2"/>
        <item x="34"/>
        <item x="89"/>
        <item x="12"/>
        <item x="1"/>
        <item x="8"/>
        <item x="54"/>
        <item x="86"/>
        <item x="67"/>
        <item x="35"/>
        <item x="32"/>
        <item x="81"/>
        <item x="0"/>
        <item x="91"/>
        <item x="60"/>
        <item x="45"/>
        <item x="27"/>
        <item x="75"/>
        <item x="49"/>
        <item x="36"/>
        <item x="78"/>
        <item x="88"/>
        <item x="21"/>
        <item x="63"/>
        <item x="44"/>
        <item x="96"/>
        <item x="55"/>
        <item x="87"/>
        <item x="83"/>
        <item x="57"/>
        <item x="13"/>
        <item x="18"/>
        <item x="15"/>
        <item x="68"/>
        <item x="9"/>
        <item x="11"/>
        <item x="7"/>
        <item x="77"/>
        <item x="84"/>
        <item x="85"/>
        <item x="72"/>
        <item x="38"/>
        <item x="52"/>
        <item x="39"/>
        <item x="73"/>
        <item x="51"/>
        <item x="56"/>
        <item x="50"/>
        <item x="65"/>
        <item x="94"/>
        <item t="sum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مجموع من Net_Revenue" fld="17" baseField="0" baseItem="0" numFmtId="2"/>
    <dataField name="متوسط من Discount" fld="13" subtotal="average" baseField="3" baseItem="0" numFmtId="9"/>
  </dataFields>
  <formats count="8">
    <format dxfId="35">
      <pivotArea outline="0" collapsedLevelsAreSubtotals="1" fieldPosition="0"/>
    </format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98904-9E9E-451F-94A3-64AB214B3F13}" name="PivotTable1" cacheId="53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8:B13" firstHeaderRow="1" firstDataRow="1" firstDataCol="1"/>
  <pivotFields count="18">
    <pivotField showAll="0"/>
    <pivotField numFmtId="14" showAll="0"/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dataField="1" numFmtId="2" showAll="0"/>
  </pivotFields>
  <rowFields count="1">
    <field x="3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مجموع من Net_Revenue" fld="17" baseField="0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A094E8-7D3C-4FC3-8950-B87E5EE93DD1}" autoFormatId="16" applyNumberFormats="0" applyBorderFormats="0" applyFontFormats="0" applyPatternFormats="0" applyAlignmentFormats="0" applyWidthHeightFormats="0">
  <queryTableRefresh nextId="22" unboundColumnsRight="1">
    <queryTableFields count="18">
      <queryTableField id="1" name="Product_ID" tableColumnId="1"/>
      <queryTableField id="2" name="Sale_Date" tableColumnId="2"/>
      <queryTableField id="3" name="Sales_Rep" tableColumnId="3"/>
      <queryTableField id="4" name="Region" tableColumnId="4"/>
      <queryTableField id="5" name="Profit" tableColumnId="5"/>
      <queryTableField id="6" name="Discount_Amount" tableColumnId="6"/>
      <queryTableField id="7" name="Sales_Amount" tableColumnId="7"/>
      <queryTableField id="8" name="Quantity_Sold" tableColumnId="8"/>
      <queryTableField id="9" name="Product_Category" tableColumnId="9"/>
      <queryTableField id="10" name="Unit_Cost" tableColumnId="10"/>
      <queryTableField id="11" name="Unit_Price" tableColumnId="11"/>
      <queryTableField id="12" name="Customer_Type" tableColumnId="12"/>
      <queryTableField id="13" name="Discount" tableColumnId="13"/>
      <queryTableField id="20" name="Discount_Fixed" tableColumnId="19"/>
      <queryTableField id="14" name="Payment_Method" tableColumnId="14"/>
      <queryTableField id="15" name="Sales_Channel" tableColumnId="15"/>
      <queryTableField id="16" name="Region_and_Sales_Rep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2F64AD-D681-498C-BCD6-CD7ABCCFA85E}" name="الجدول1_1" displayName="الجدول1_1" ref="A1:R101" tableType="queryTable" totalsRowShown="0">
  <autoFilter ref="A1:R101" xr:uid="{2A2F64AD-D681-498C-BCD6-CD7ABCCFA85E}"/>
  <tableColumns count="18">
    <tableColumn id="1" xr3:uid="{80EECBE3-935F-4D86-9ACF-E55867459846}" uniqueName="1" name="Product_ID" queryTableFieldId="1"/>
    <tableColumn id="2" xr3:uid="{BA153EFE-F5D4-4DA4-9E22-605F1FB8FEF4}" uniqueName="2" name="Sale_Date" queryTableFieldId="2" dataDxfId="34"/>
    <tableColumn id="3" xr3:uid="{4CF8D844-0A9F-4B32-A8C9-5BA242A5ACFC}" uniqueName="3" name="Sales_Rep" queryTableFieldId="3" dataDxfId="33"/>
    <tableColumn id="4" xr3:uid="{C8BC55DA-1639-415F-8374-C46276749845}" uniqueName="4" name="Region" queryTableFieldId="4" dataDxfId="32"/>
    <tableColumn id="5" xr3:uid="{13E4C1D1-394D-4B39-AB4C-184FB02E7B09}" uniqueName="5" name="Profit" queryTableFieldId="5"/>
    <tableColumn id="6" xr3:uid="{4B586ABC-B10F-47FE-8E46-200A79F10E9B}" uniqueName="6" name="Discount_Amount" queryTableFieldId="6"/>
    <tableColumn id="7" xr3:uid="{94FD0982-05BA-474D-8CAD-E886E0F15A89}" uniqueName="7" name="Sales_Amount" queryTableFieldId="7"/>
    <tableColumn id="8" xr3:uid="{CBB2B2DE-3A3D-4E14-A52C-E55C95378C6A}" uniqueName="8" name="Quantity_Sold" queryTableFieldId="8"/>
    <tableColumn id="9" xr3:uid="{6C4A3CA0-6465-4F38-AA61-16F98CE5754D}" uniqueName="9" name="Product_Category" queryTableFieldId="9" dataDxfId="31"/>
    <tableColumn id="10" xr3:uid="{904EE2FA-3A2A-4470-B3DD-8591C973426B}" uniqueName="10" name="Unit_Cost" queryTableFieldId="10"/>
    <tableColumn id="11" xr3:uid="{AB990BC5-D6C3-4603-8DDC-CDA6FE2E9A67}" uniqueName="11" name="Unit_Price" queryTableFieldId="11"/>
    <tableColumn id="12" xr3:uid="{A7AA4F07-1BDD-4F6F-BAA9-E455171018BE}" uniqueName="12" name="Customer_Type" queryTableFieldId="12" dataDxfId="30"/>
    <tableColumn id="13" xr3:uid="{E07F6E09-CE9E-4F2B-A13D-1411B12DA0A4}" uniqueName="13" name="Discount" queryTableFieldId="13" dataDxfId="29" dataCellStyle="Percent"/>
    <tableColumn id="19" xr3:uid="{57F8BA37-E095-4A67-B696-B585545A0B2C}" uniqueName="19" name="Discount_Fixed" queryTableFieldId="20" dataCellStyle="Percent"/>
    <tableColumn id="14" xr3:uid="{4B1EDE63-AE93-4A71-B414-86CA889DEC56}" uniqueName="14" name="Payment_Method" queryTableFieldId="14" dataDxfId="28"/>
    <tableColumn id="15" xr3:uid="{66E90D2E-76C2-416D-8D9C-46BCF150748E}" uniqueName="15" name="Sales_Channel" queryTableFieldId="15" dataDxfId="27"/>
    <tableColumn id="16" xr3:uid="{20C9C13C-B6AF-475F-9752-D025B13641D3}" uniqueName="16" name="Region_and_Sales_Rep" queryTableFieldId="16" dataDxfId="26"/>
    <tableColumn id="17" xr3:uid="{9B67DB27-537E-4CE8-9D5C-494E12DF97B5}" uniqueName="17" name="Net_Revenue" queryTableFieldId="17" dataDxfId="25">
      <calculatedColumnFormula>(1-M2)*الجدول1_1[[#This Row],[Sales_Amount]]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730692-9CE0-4A9C-B5FE-B096F2DD3CC7}" name="الجدول1" displayName="الجدول1" ref="A1:P1001" totalsRowShown="0">
  <autoFilter ref="A1:P1001" xr:uid="{94730692-9CE0-4A9C-B5FE-B096F2DD3CC7}"/>
  <tableColumns count="16">
    <tableColumn id="1" xr3:uid="{3E03D976-F38D-46EE-AFB8-BCF4EC4EC3DE}" name="Product_ID"/>
    <tableColumn id="2" xr3:uid="{3C798CA4-DBA8-40AF-AFA2-0D95CAA4A48D}" name="Sale_Date" dataDxfId="36"/>
    <tableColumn id="3" xr3:uid="{E00DF70E-5D87-47A3-8C32-10C98691159E}" name="Sales_Rep"/>
    <tableColumn id="4" xr3:uid="{6E714008-81D7-4D27-B7BD-65C2D6FEB0EC}" name="Region"/>
    <tableColumn id="5" xr3:uid="{358C9219-F71C-43BE-900B-2D518FD34E9C}" name="Sales_Amount"/>
    <tableColumn id="6" xr3:uid="{73D9C0CE-5708-466B-AABA-5BCBA81DC040}" name="Quantity_Sold"/>
    <tableColumn id="7" xr3:uid="{5322748D-69BA-477D-AF7F-3A01AD0C4E3C}" name="Product_Category"/>
    <tableColumn id="8" xr3:uid="{0C646A72-5404-4E8B-8801-96300AC98711}" name="Unit_Cost"/>
    <tableColumn id="9" xr3:uid="{C0E73C38-DE5A-4A0C-BFA9-D64B364E2429}" name="Unit_Price"/>
    <tableColumn id="10" xr3:uid="{5F0ABA14-9845-4AEE-80F2-8BDA558B1D8C}" name="Customer_Type"/>
    <tableColumn id="11" xr3:uid="{0AA732D9-86DD-4D46-A561-A2441D55FFA5}" name="Discount" dataCellStyle="Percent"/>
    <tableColumn id="12" xr3:uid="{7836C5FC-5AC2-41E5-8AAE-0352FC488BC2}" name="Payment_Method"/>
    <tableColumn id="13" xr3:uid="{8E63DC73-8931-47ED-9EFE-B625AD361324}" name="Sales_Channel"/>
    <tableColumn id="14" xr3:uid="{BC0D8947-D978-447B-9204-3892F2439AB7}" name="Region_and_Sales_Rep"/>
    <tableColumn id="15" xr3:uid="{5761D692-3628-4A72-A124-AB41A1F448E4}" name="Discount_Fixed" dataCellStyle="Percent">
      <calculatedColumnFormula>الجدول1[[#This Row],[Discount]]*1</calculatedColumnFormula>
    </tableColumn>
    <tableColumn id="16" xr3:uid="{005617EA-4EC5-4713-BCC6-692FC5016396}" name="Net_Revenue" dataDxfId="23">
      <calculatedColumnFormula>الجدول1[[#This Row],[Sales_Amount]]*(1-الجدول1[[#This Row],[Discount]])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4CFD-5527-40AC-9AE4-F198D08655C2}">
  <dimension ref="A1:L23"/>
  <sheetViews>
    <sheetView rightToLeft="1" workbookViewId="0">
      <selection activeCell="G2" sqref="G2"/>
    </sheetView>
  </sheetViews>
  <sheetFormatPr defaultRowHeight="14" x14ac:dyDescent="0.3"/>
  <cols>
    <col min="1" max="1" width="12.83203125" bestFit="1" customWidth="1"/>
    <col min="2" max="2" width="19.5" bestFit="1" customWidth="1"/>
    <col min="3" max="3" width="8.58203125" customWidth="1"/>
    <col min="4" max="4" width="17.25" style="15" customWidth="1"/>
    <col min="5" max="5" width="14.25" style="15" bestFit="1" customWidth="1"/>
    <col min="6" max="6" width="21.5" style="15" bestFit="1" customWidth="1"/>
    <col min="7" max="7" width="17.4140625" style="15" bestFit="1" customWidth="1"/>
    <col min="8" max="8" width="9.4140625" customWidth="1"/>
    <col min="9" max="9" width="13.9140625" customWidth="1"/>
    <col min="10" max="10" width="8.4140625" customWidth="1"/>
    <col min="11" max="11" width="17.5" customWidth="1"/>
    <col min="12" max="12" width="6.25" bestFit="1" customWidth="1"/>
    <col min="13" max="15" width="7.1640625" bestFit="1" customWidth="1"/>
    <col min="16" max="30" width="7.25" bestFit="1" customWidth="1"/>
    <col min="31" max="31" width="7.1640625" bestFit="1" customWidth="1"/>
    <col min="32" max="38" width="7.25" bestFit="1" customWidth="1"/>
    <col min="39" max="39" width="7.1640625" bestFit="1" customWidth="1"/>
    <col min="40" max="66" width="7.25" bestFit="1" customWidth="1"/>
    <col min="67" max="67" width="7.1640625" bestFit="1" customWidth="1"/>
    <col min="68" max="87" width="7.25" bestFit="1" customWidth="1"/>
    <col min="88" max="88" width="7.1640625" bestFit="1" customWidth="1"/>
    <col min="89" max="98" width="7.25" bestFit="1" customWidth="1"/>
    <col min="99" max="99" width="7.1640625" bestFit="1" customWidth="1"/>
    <col min="100" max="104" width="7.25" bestFit="1" customWidth="1"/>
    <col min="105" max="105" width="9.25" bestFit="1" customWidth="1"/>
    <col min="106" max="106" width="12.08203125" bestFit="1" customWidth="1"/>
    <col min="107" max="107" width="7.25" bestFit="1" customWidth="1"/>
    <col min="108" max="108" width="12.08203125" bestFit="1" customWidth="1"/>
    <col min="109" max="109" width="7.25" bestFit="1" customWidth="1"/>
    <col min="110" max="110" width="12.08203125" bestFit="1" customWidth="1"/>
    <col min="111" max="111" width="7.25" bestFit="1" customWidth="1"/>
    <col min="112" max="112" width="12.08203125" bestFit="1" customWidth="1"/>
    <col min="113" max="113" width="7.25" bestFit="1" customWidth="1"/>
    <col min="114" max="114" width="12.08203125" bestFit="1" customWidth="1"/>
    <col min="115" max="115" width="7.25" bestFit="1" customWidth="1"/>
    <col min="116" max="116" width="12.08203125" bestFit="1" customWidth="1"/>
    <col min="117" max="117" width="7.25" bestFit="1" customWidth="1"/>
    <col min="118" max="118" width="12.08203125" bestFit="1" customWidth="1"/>
    <col min="119" max="119" width="7.25" bestFit="1" customWidth="1"/>
    <col min="120" max="120" width="12.08203125" bestFit="1" customWidth="1"/>
    <col min="121" max="121" width="7.25" bestFit="1" customWidth="1"/>
    <col min="122" max="122" width="12.08203125" bestFit="1" customWidth="1"/>
    <col min="123" max="123" width="7.25" bestFit="1" customWidth="1"/>
    <col min="124" max="124" width="12.08203125" bestFit="1" customWidth="1"/>
    <col min="125" max="125" width="7.25" bestFit="1" customWidth="1"/>
    <col min="126" max="126" width="12.08203125" bestFit="1" customWidth="1"/>
    <col min="127" max="127" width="7.25" bestFit="1" customWidth="1"/>
    <col min="128" max="128" width="12.08203125" bestFit="1" customWidth="1"/>
    <col min="129" max="129" width="7.1640625" bestFit="1" customWidth="1"/>
    <col min="130" max="130" width="12" bestFit="1" customWidth="1"/>
    <col min="131" max="131" width="7.25" bestFit="1" customWidth="1"/>
    <col min="132" max="132" width="12.08203125" bestFit="1" customWidth="1"/>
    <col min="133" max="133" width="7.25" bestFit="1" customWidth="1"/>
    <col min="134" max="134" width="12.08203125" bestFit="1" customWidth="1"/>
    <col min="135" max="135" width="7.25" bestFit="1" customWidth="1"/>
    <col min="136" max="136" width="12.08203125" bestFit="1" customWidth="1"/>
    <col min="137" max="137" width="7.25" bestFit="1" customWidth="1"/>
    <col min="138" max="138" width="12.08203125" bestFit="1" customWidth="1"/>
    <col min="139" max="139" width="7.25" bestFit="1" customWidth="1"/>
    <col min="140" max="140" width="12.08203125" bestFit="1" customWidth="1"/>
    <col min="141" max="141" width="7.25" bestFit="1" customWidth="1"/>
    <col min="142" max="142" width="12.08203125" bestFit="1" customWidth="1"/>
    <col min="143" max="143" width="7.25" bestFit="1" customWidth="1"/>
    <col min="144" max="144" width="12.08203125" bestFit="1" customWidth="1"/>
    <col min="145" max="145" width="7.25" bestFit="1" customWidth="1"/>
    <col min="146" max="146" width="12.08203125" bestFit="1" customWidth="1"/>
    <col min="147" max="147" width="7.25" bestFit="1" customWidth="1"/>
    <col min="148" max="148" width="12.08203125" bestFit="1" customWidth="1"/>
    <col min="149" max="149" width="7.25" bestFit="1" customWidth="1"/>
    <col min="150" max="150" width="12.08203125" bestFit="1" customWidth="1"/>
    <col min="151" max="151" width="7.25" bestFit="1" customWidth="1"/>
    <col min="152" max="152" width="12.08203125" bestFit="1" customWidth="1"/>
    <col min="153" max="153" width="7.25" bestFit="1" customWidth="1"/>
    <col min="154" max="154" width="12.08203125" bestFit="1" customWidth="1"/>
    <col min="155" max="155" width="7.25" bestFit="1" customWidth="1"/>
    <col min="156" max="156" width="12.08203125" bestFit="1" customWidth="1"/>
    <col min="157" max="157" width="7.25" bestFit="1" customWidth="1"/>
    <col min="158" max="158" width="12.08203125" bestFit="1" customWidth="1"/>
    <col min="159" max="159" width="7.25" bestFit="1" customWidth="1"/>
    <col min="160" max="160" width="12.08203125" bestFit="1" customWidth="1"/>
    <col min="161" max="161" width="7.25" bestFit="1" customWidth="1"/>
    <col min="162" max="162" width="12.08203125" bestFit="1" customWidth="1"/>
    <col min="163" max="163" width="7.25" bestFit="1" customWidth="1"/>
    <col min="164" max="164" width="12.08203125" bestFit="1" customWidth="1"/>
    <col min="165" max="165" width="7.25" bestFit="1" customWidth="1"/>
    <col min="166" max="166" width="12.08203125" bestFit="1" customWidth="1"/>
    <col min="167" max="167" width="7.25" bestFit="1" customWidth="1"/>
    <col min="168" max="168" width="12.08203125" bestFit="1" customWidth="1"/>
    <col min="169" max="169" width="7.25" bestFit="1" customWidth="1"/>
    <col min="170" max="170" width="12.08203125" bestFit="1" customWidth="1"/>
    <col min="171" max="171" width="7.1640625" bestFit="1" customWidth="1"/>
    <col min="172" max="172" width="12" bestFit="1" customWidth="1"/>
    <col min="173" max="173" width="7.25" bestFit="1" customWidth="1"/>
    <col min="174" max="174" width="12.08203125" bestFit="1" customWidth="1"/>
    <col min="175" max="175" width="7.25" bestFit="1" customWidth="1"/>
    <col min="176" max="176" width="12.08203125" bestFit="1" customWidth="1"/>
    <col min="177" max="177" width="7.25" bestFit="1" customWidth="1"/>
    <col min="178" max="178" width="12.08203125" bestFit="1" customWidth="1"/>
    <col min="179" max="179" width="7.25" bestFit="1" customWidth="1"/>
    <col min="180" max="180" width="12.08203125" bestFit="1" customWidth="1"/>
    <col min="181" max="181" width="7.25" bestFit="1" customWidth="1"/>
    <col min="182" max="182" width="12.08203125" bestFit="1" customWidth="1"/>
    <col min="183" max="183" width="7.25" bestFit="1" customWidth="1"/>
    <col min="184" max="184" width="12.08203125" bestFit="1" customWidth="1"/>
    <col min="185" max="185" width="7.25" bestFit="1" customWidth="1"/>
    <col min="186" max="186" width="12.08203125" bestFit="1" customWidth="1"/>
    <col min="187" max="187" width="7.25" bestFit="1" customWidth="1"/>
    <col min="188" max="188" width="12.08203125" bestFit="1" customWidth="1"/>
    <col min="189" max="189" width="7.25" bestFit="1" customWidth="1"/>
    <col min="190" max="190" width="12.08203125" bestFit="1" customWidth="1"/>
    <col min="191" max="191" width="7.25" bestFit="1" customWidth="1"/>
    <col min="192" max="192" width="12.08203125" bestFit="1" customWidth="1"/>
    <col min="193" max="193" width="7.1640625" bestFit="1" customWidth="1"/>
    <col min="194" max="194" width="12" bestFit="1" customWidth="1"/>
    <col min="195" max="195" width="7.25" bestFit="1" customWidth="1"/>
    <col min="196" max="196" width="12.08203125" bestFit="1" customWidth="1"/>
    <col min="197" max="197" width="7.25" bestFit="1" customWidth="1"/>
    <col min="198" max="198" width="12.08203125" bestFit="1" customWidth="1"/>
    <col min="199" max="199" width="7.25" bestFit="1" customWidth="1"/>
    <col min="200" max="200" width="12.08203125" bestFit="1" customWidth="1"/>
    <col min="201" max="201" width="7.25" bestFit="1" customWidth="1"/>
    <col min="202" max="202" width="12.08203125" bestFit="1" customWidth="1"/>
    <col min="203" max="203" width="7.25" bestFit="1" customWidth="1"/>
    <col min="204" max="204" width="12.08203125" bestFit="1" customWidth="1"/>
    <col min="205" max="205" width="9.25" bestFit="1" customWidth="1"/>
  </cols>
  <sheetData>
    <row r="1" spans="1:12" ht="23" x14ac:dyDescent="0.5">
      <c r="E1" s="26" t="s">
        <v>81</v>
      </c>
      <c r="F1" s="22"/>
    </row>
    <row r="2" spans="1:12" ht="11.5" customHeight="1" x14ac:dyDescent="0.3">
      <c r="L2" s="24"/>
    </row>
    <row r="3" spans="1:12" ht="13" customHeight="1" x14ac:dyDescent="0.3"/>
    <row r="4" spans="1:12" ht="15" customHeight="1" x14ac:dyDescent="0.3">
      <c r="D4" s="23" t="s">
        <v>79</v>
      </c>
      <c r="E4" s="23"/>
      <c r="F4" s="23"/>
      <c r="G4" s="23"/>
      <c r="L4" s="10"/>
    </row>
    <row r="5" spans="1:12" ht="15" customHeight="1" x14ac:dyDescent="0.3">
      <c r="L5" s="10"/>
    </row>
    <row r="6" spans="1:12" ht="15" customHeight="1" x14ac:dyDescent="0.3">
      <c r="A6" s="11" t="s">
        <v>73</v>
      </c>
      <c r="B6" s="11"/>
      <c r="D6" s="17" t="s">
        <v>72</v>
      </c>
      <c r="E6" s="17" t="s">
        <v>77</v>
      </c>
      <c r="F6" s="18"/>
      <c r="G6" s="18"/>
      <c r="I6" s="16" t="s">
        <v>74</v>
      </c>
      <c r="J6" s="16"/>
      <c r="K6" s="16"/>
      <c r="L6" s="10"/>
    </row>
    <row r="7" spans="1:12" ht="15" customHeight="1" x14ac:dyDescent="0.3">
      <c r="D7" s="17" t="s">
        <v>70</v>
      </c>
      <c r="E7" s="18" t="s">
        <v>19</v>
      </c>
      <c r="F7" s="18" t="s">
        <v>22</v>
      </c>
      <c r="G7" s="18" t="s">
        <v>71</v>
      </c>
      <c r="L7" s="10"/>
    </row>
    <row r="8" spans="1:12" ht="15" customHeight="1" x14ac:dyDescent="0.35">
      <c r="A8" s="8" t="s">
        <v>70</v>
      </c>
      <c r="B8" t="s">
        <v>72</v>
      </c>
      <c r="D8" s="18" t="s">
        <v>42</v>
      </c>
      <c r="E8" s="19">
        <v>430630.76059999992</v>
      </c>
      <c r="F8" s="19">
        <v>391239.95800000004</v>
      </c>
      <c r="G8" s="19">
        <v>821870.71860000002</v>
      </c>
      <c r="I8" s="12" t="s">
        <v>70</v>
      </c>
      <c r="J8" s="13" t="s">
        <v>72</v>
      </c>
      <c r="K8" s="13" t="s">
        <v>75</v>
      </c>
      <c r="L8" s="10"/>
    </row>
    <row r="9" spans="1:12" ht="15" customHeight="1" x14ac:dyDescent="0.35">
      <c r="A9" s="9" t="s">
        <v>34</v>
      </c>
      <c r="B9" s="10">
        <v>119427.47869999999</v>
      </c>
      <c r="D9" s="18" t="s">
        <v>14</v>
      </c>
      <c r="E9" s="19">
        <v>438447.97129999992</v>
      </c>
      <c r="F9" s="19">
        <v>488934.04660000006</v>
      </c>
      <c r="G9" s="19">
        <v>927382.01789999998</v>
      </c>
      <c r="I9" s="14" t="s">
        <v>34</v>
      </c>
      <c r="J9" s="20">
        <v>119427.47869999999</v>
      </c>
      <c r="K9" s="21">
        <v>0.13814814814814816</v>
      </c>
    </row>
    <row r="10" spans="1:12" ht="15.5" x14ac:dyDescent="0.35">
      <c r="A10" s="9" t="s">
        <v>15</v>
      </c>
      <c r="B10" s="10">
        <v>106049.28600000001</v>
      </c>
      <c r="D10" s="18" t="s">
        <v>33</v>
      </c>
      <c r="E10" s="19">
        <v>379901.86019999994</v>
      </c>
      <c r="F10" s="19">
        <v>346801.16409999999</v>
      </c>
      <c r="G10" s="19">
        <v>726703.02429999993</v>
      </c>
      <c r="I10" s="14" t="s">
        <v>15</v>
      </c>
      <c r="J10" s="20">
        <v>106049.28600000001</v>
      </c>
      <c r="K10" s="21">
        <v>0.12541666666666668</v>
      </c>
    </row>
    <row r="11" spans="1:12" ht="15.5" x14ac:dyDescent="0.35">
      <c r="A11" s="9" t="s">
        <v>21</v>
      </c>
      <c r="B11" s="10">
        <v>90787.985199999996</v>
      </c>
      <c r="D11" s="18" t="s">
        <v>24</v>
      </c>
      <c r="E11" s="19">
        <v>481332.80889999989</v>
      </c>
      <c r="F11" s="19">
        <v>471980.99470000027</v>
      </c>
      <c r="G11" s="19">
        <v>953313.80360000022</v>
      </c>
      <c r="I11" s="14" t="s">
        <v>25</v>
      </c>
      <c r="J11" s="20">
        <v>82414.805499999988</v>
      </c>
      <c r="K11" s="21">
        <v>0.14434782608695654</v>
      </c>
    </row>
    <row r="12" spans="1:12" ht="15.5" x14ac:dyDescent="0.35">
      <c r="A12" s="9" t="s">
        <v>25</v>
      </c>
      <c r="B12" s="10">
        <v>82414.805499999988</v>
      </c>
      <c r="D12" s="18" t="s">
        <v>38</v>
      </c>
      <c r="E12" s="19">
        <v>354989.2471000001</v>
      </c>
      <c r="F12" s="19">
        <v>464378.92639999976</v>
      </c>
      <c r="G12" s="19">
        <v>819368.1734999998</v>
      </c>
      <c r="I12" s="14" t="s">
        <v>21</v>
      </c>
      <c r="J12" s="20">
        <v>90787.985199999996</v>
      </c>
      <c r="K12" s="21">
        <v>0.15346153846153848</v>
      </c>
    </row>
    <row r="13" spans="1:12" ht="15.5" x14ac:dyDescent="0.35">
      <c r="A13" s="9" t="s">
        <v>71</v>
      </c>
      <c r="B13" s="10">
        <v>398679.55539999995</v>
      </c>
      <c r="D13" s="18" t="s">
        <v>71</v>
      </c>
      <c r="E13" s="19">
        <v>2085302.6480999996</v>
      </c>
      <c r="F13" s="19">
        <v>2163335.0898000002</v>
      </c>
      <c r="G13" s="19">
        <v>4248637.7379000001</v>
      </c>
      <c r="I13" s="14" t="s">
        <v>71</v>
      </c>
      <c r="J13" s="20">
        <v>398679.55539999966</v>
      </c>
      <c r="K13" s="21">
        <v>0.14050000000000001</v>
      </c>
    </row>
    <row r="14" spans="1:12" x14ac:dyDescent="0.3">
      <c r="F14"/>
      <c r="G14"/>
    </row>
    <row r="16" spans="1:12" x14ac:dyDescent="0.3">
      <c r="F16"/>
      <c r="G16"/>
    </row>
    <row r="18" spans="5:6" x14ac:dyDescent="0.3">
      <c r="E18" s="25" t="s">
        <v>80</v>
      </c>
      <c r="F18" s="25"/>
    </row>
    <row r="20" spans="5:6" x14ac:dyDescent="0.3">
      <c r="E20" s="8" t="s">
        <v>70</v>
      </c>
      <c r="F20" t="s">
        <v>72</v>
      </c>
    </row>
    <row r="21" spans="5:6" x14ac:dyDescent="0.3">
      <c r="E21" s="9" t="s">
        <v>30</v>
      </c>
      <c r="F21" s="2">
        <v>2121399.9584000013</v>
      </c>
    </row>
    <row r="22" spans="5:6" x14ac:dyDescent="0.3">
      <c r="E22" s="9" t="s">
        <v>17</v>
      </c>
      <c r="F22" s="2">
        <v>2127237.7795000002</v>
      </c>
    </row>
    <row r="23" spans="5:6" x14ac:dyDescent="0.3">
      <c r="E23" s="9" t="s">
        <v>71</v>
      </c>
      <c r="F23" s="2">
        <v>4248637.7379000019</v>
      </c>
    </row>
  </sheetData>
  <mergeCells count="5">
    <mergeCell ref="D4:G4"/>
    <mergeCell ref="I6:K6"/>
    <mergeCell ref="E18:F18"/>
    <mergeCell ref="E1:F1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FEDC-4038-4650-887D-FB840296C75B}">
  <dimension ref="A1:X101"/>
  <sheetViews>
    <sheetView rightToLeft="1" tabSelected="1" topLeftCell="A2" zoomScale="75" zoomScaleNormal="75" workbookViewId="0">
      <selection activeCell="M2" sqref="M2:M101"/>
    </sheetView>
  </sheetViews>
  <sheetFormatPr defaultRowHeight="14" x14ac:dyDescent="0.3"/>
  <cols>
    <col min="1" max="1" width="13.5" bestFit="1" customWidth="1"/>
    <col min="2" max="2" width="12.4140625" bestFit="1" customWidth="1"/>
    <col min="3" max="3" width="12.83203125" bestFit="1" customWidth="1"/>
    <col min="4" max="4" width="9.83203125" bestFit="1" customWidth="1"/>
    <col min="5" max="5" width="10.6640625" bestFit="1" customWidth="1"/>
    <col min="6" max="6" width="19.4140625" bestFit="1" customWidth="1"/>
    <col min="7" max="7" width="16.33203125" bestFit="1" customWidth="1"/>
    <col min="8" max="8" width="16.1640625" bestFit="1" customWidth="1"/>
    <col min="9" max="9" width="20" bestFit="1" customWidth="1"/>
    <col min="10" max="10" width="12.4140625" bestFit="1" customWidth="1"/>
    <col min="11" max="11" width="12.75" bestFit="1" customWidth="1"/>
    <col min="12" max="12" width="17.6640625" bestFit="1" customWidth="1"/>
    <col min="13" max="13" width="11.5" style="7" bestFit="1" customWidth="1"/>
    <col min="14" max="14" width="17.33203125" bestFit="1" customWidth="1"/>
    <col min="15" max="15" width="18.83203125" bestFit="1" customWidth="1"/>
    <col min="16" max="16" width="16.6640625" bestFit="1" customWidth="1"/>
    <col min="17" max="17" width="24.5" bestFit="1" customWidth="1"/>
    <col min="18" max="18" width="15.33203125" bestFit="1" customWidth="1"/>
    <col min="19" max="19" width="15.33203125" style="6" bestFit="1" customWidth="1"/>
    <col min="20" max="20" width="17.58203125" customWidth="1"/>
    <col min="21" max="21" width="8.6640625" customWidth="1"/>
    <col min="23" max="23" width="8.6640625" customWidth="1"/>
  </cols>
  <sheetData>
    <row r="1" spans="1:24" ht="14.5" thickBot="1" x14ac:dyDescent="0.35">
      <c r="A1" t="s">
        <v>0</v>
      </c>
      <c r="B1" t="s">
        <v>1</v>
      </c>
      <c r="C1" t="s">
        <v>2</v>
      </c>
      <c r="D1" t="s">
        <v>3</v>
      </c>
      <c r="E1" t="s">
        <v>54</v>
      </c>
      <c r="F1" t="s">
        <v>55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s="7" t="s">
        <v>10</v>
      </c>
      <c r="N1" t="s">
        <v>76</v>
      </c>
      <c r="O1" t="s">
        <v>11</v>
      </c>
      <c r="P1" t="s">
        <v>12</v>
      </c>
      <c r="Q1" t="s">
        <v>13</v>
      </c>
      <c r="R1" s="6" t="s">
        <v>69</v>
      </c>
      <c r="S1"/>
    </row>
    <row r="2" spans="1:24" x14ac:dyDescent="0.3">
      <c r="A2">
        <v>1052</v>
      </c>
      <c r="B2" s="1">
        <v>44960</v>
      </c>
      <c r="C2" s="2" t="s">
        <v>14</v>
      </c>
      <c r="D2" s="2" t="s">
        <v>15</v>
      </c>
      <c r="E2">
        <v>4446.3626999999997</v>
      </c>
      <c r="F2">
        <v>454.85730000000001</v>
      </c>
      <c r="G2">
        <v>5053.97</v>
      </c>
      <c r="H2">
        <v>18</v>
      </c>
      <c r="I2" s="2" t="s">
        <v>16</v>
      </c>
      <c r="J2">
        <v>152.75</v>
      </c>
      <c r="K2">
        <v>267.22000000000003</v>
      </c>
      <c r="L2" s="2" t="s">
        <v>17</v>
      </c>
      <c r="M2" s="7">
        <v>0.09</v>
      </c>
      <c r="N2">
        <v>0.09</v>
      </c>
      <c r="O2" s="2" t="s">
        <v>18</v>
      </c>
      <c r="P2" s="2" t="s">
        <v>19</v>
      </c>
      <c r="Q2" s="2" t="s">
        <v>20</v>
      </c>
      <c r="R2" s="6">
        <f>(1-M2)*الجدول1_1[[#This Row],[Sales_Amount]]</f>
        <v>4599.1127000000006</v>
      </c>
      <c r="S2"/>
      <c r="T2" s="5" t="s">
        <v>10</v>
      </c>
      <c r="U2" s="5"/>
      <c r="W2" s="5" t="s">
        <v>69</v>
      </c>
      <c r="X2" s="5"/>
    </row>
    <row r="3" spans="1:24" x14ac:dyDescent="0.3">
      <c r="A3">
        <v>1093</v>
      </c>
      <c r="B3" s="1">
        <v>45037</v>
      </c>
      <c r="C3" s="2" t="s">
        <v>14</v>
      </c>
      <c r="D3" s="2" t="s">
        <v>21</v>
      </c>
      <c r="E3">
        <v>85.387799999999999</v>
      </c>
      <c r="F3">
        <v>482.24220000000003</v>
      </c>
      <c r="G3">
        <v>4384.0200000000004</v>
      </c>
      <c r="H3">
        <v>17</v>
      </c>
      <c r="I3" s="2" t="s">
        <v>16</v>
      </c>
      <c r="J3">
        <v>3816.39</v>
      </c>
      <c r="K3">
        <v>4209.4399999999996</v>
      </c>
      <c r="L3" s="2" t="s">
        <v>17</v>
      </c>
      <c r="M3" s="7">
        <v>0.11</v>
      </c>
      <c r="N3">
        <v>0.11</v>
      </c>
      <c r="O3" s="2" t="s">
        <v>18</v>
      </c>
      <c r="P3" s="2" t="s">
        <v>22</v>
      </c>
      <c r="Q3" s="2" t="s">
        <v>23</v>
      </c>
      <c r="R3" s="6">
        <f>(1-M3)*الجدول1_1[[#This Row],[Sales_Amount]]</f>
        <v>3901.7778000000003</v>
      </c>
      <c r="S3"/>
      <c r="T3" s="3"/>
      <c r="U3" s="3"/>
      <c r="W3" s="3"/>
      <c r="X3" s="3"/>
    </row>
    <row r="4" spans="1:24" x14ac:dyDescent="0.3">
      <c r="A4">
        <v>1015</v>
      </c>
      <c r="B4" s="1">
        <v>45190</v>
      </c>
      <c r="C4" s="2" t="s">
        <v>24</v>
      </c>
      <c r="D4" s="2" t="s">
        <v>25</v>
      </c>
      <c r="E4">
        <v>3443.424</v>
      </c>
      <c r="F4">
        <v>926.24599999999998</v>
      </c>
      <c r="G4">
        <v>4631.2299999999996</v>
      </c>
      <c r="H4">
        <v>30</v>
      </c>
      <c r="I4" s="2" t="s">
        <v>26</v>
      </c>
      <c r="J4">
        <v>261.56</v>
      </c>
      <c r="K4">
        <v>371.4</v>
      </c>
      <c r="L4" s="2" t="s">
        <v>17</v>
      </c>
      <c r="M4" s="7">
        <v>0.2</v>
      </c>
      <c r="N4">
        <v>0.2</v>
      </c>
      <c r="O4" s="2" t="s">
        <v>27</v>
      </c>
      <c r="P4" s="2" t="s">
        <v>22</v>
      </c>
      <c r="Q4" s="2" t="s">
        <v>28</v>
      </c>
      <c r="R4" s="6">
        <f>(1-M4)*الجدول1_1[[#This Row],[Sales_Amount]]</f>
        <v>3704.9839999999999</v>
      </c>
      <c r="S4"/>
      <c r="T4" s="3" t="s">
        <v>56</v>
      </c>
      <c r="U4" s="3">
        <v>0.14101010101010092</v>
      </c>
      <c r="W4" s="3" t="s">
        <v>56</v>
      </c>
      <c r="X4" s="3">
        <v>3980.6105323232323</v>
      </c>
    </row>
    <row r="5" spans="1:24" x14ac:dyDescent="0.3">
      <c r="A5">
        <v>1072</v>
      </c>
      <c r="B5" s="1">
        <v>45162</v>
      </c>
      <c r="C5" s="2" t="s">
        <v>14</v>
      </c>
      <c r="D5" s="2" t="s">
        <v>25</v>
      </c>
      <c r="E5">
        <v>-2205.4488000000001</v>
      </c>
      <c r="F5">
        <v>43.358800000000002</v>
      </c>
      <c r="G5">
        <v>2167.94</v>
      </c>
      <c r="H5">
        <v>39</v>
      </c>
      <c r="I5" s="2" t="s">
        <v>29</v>
      </c>
      <c r="J5">
        <v>4330.03</v>
      </c>
      <c r="K5">
        <v>4467.75</v>
      </c>
      <c r="L5" s="2" t="s">
        <v>30</v>
      </c>
      <c r="M5" s="7">
        <v>0.02</v>
      </c>
      <c r="N5">
        <v>0.02</v>
      </c>
      <c r="O5" s="2" t="s">
        <v>31</v>
      </c>
      <c r="P5" s="2" t="s">
        <v>22</v>
      </c>
      <c r="Q5" s="2" t="s">
        <v>32</v>
      </c>
      <c r="R5" s="6">
        <f>(1-M5)*الجدول1_1[[#This Row],[Sales_Amount]]</f>
        <v>2124.5812000000001</v>
      </c>
      <c r="S5"/>
      <c r="T5" s="3" t="s">
        <v>57</v>
      </c>
      <c r="U5" s="3">
        <v>8.8092253950802449E-3</v>
      </c>
      <c r="W5" s="3" t="s">
        <v>57</v>
      </c>
      <c r="X5" s="3">
        <v>239.46730810599175</v>
      </c>
    </row>
    <row r="6" spans="1:24" x14ac:dyDescent="0.3">
      <c r="A6">
        <v>1061</v>
      </c>
      <c r="B6" s="1">
        <v>45009</v>
      </c>
      <c r="C6" s="2" t="s">
        <v>33</v>
      </c>
      <c r="D6" s="2" t="s">
        <v>34</v>
      </c>
      <c r="E6">
        <v>2812.8139999999999</v>
      </c>
      <c r="F6">
        <v>300.01600000000002</v>
      </c>
      <c r="G6">
        <v>3750.2</v>
      </c>
      <c r="H6">
        <v>13</v>
      </c>
      <c r="I6" s="2" t="s">
        <v>35</v>
      </c>
      <c r="J6">
        <v>637.37</v>
      </c>
      <c r="K6">
        <v>692.71</v>
      </c>
      <c r="L6" s="2" t="s">
        <v>30</v>
      </c>
      <c r="M6" s="7">
        <v>0.08</v>
      </c>
      <c r="N6">
        <v>0.08</v>
      </c>
      <c r="O6" s="2" t="s">
        <v>31</v>
      </c>
      <c r="P6" s="2" t="s">
        <v>19</v>
      </c>
      <c r="Q6" s="2" t="s">
        <v>36</v>
      </c>
      <c r="R6" s="6">
        <f>(1-M6)*الجدول1_1[[#This Row],[Sales_Amount]]</f>
        <v>3450.1840000000002</v>
      </c>
      <c r="S6"/>
      <c r="T6" s="3" t="s">
        <v>58</v>
      </c>
      <c r="U6" s="3">
        <v>0.15</v>
      </c>
      <c r="W6" s="3" t="s">
        <v>58</v>
      </c>
      <c r="X6" s="3">
        <v>3694.3379999999997</v>
      </c>
    </row>
    <row r="7" spans="1:24" x14ac:dyDescent="0.3">
      <c r="A7">
        <v>1021</v>
      </c>
      <c r="B7" s="1">
        <v>44968</v>
      </c>
      <c r="C7" s="2" t="s">
        <v>33</v>
      </c>
      <c r="D7" s="2" t="s">
        <v>21</v>
      </c>
      <c r="E7">
        <v>2070.5185000000001</v>
      </c>
      <c r="F7">
        <v>789.8415</v>
      </c>
      <c r="G7">
        <v>3761.15</v>
      </c>
      <c r="H7">
        <v>32</v>
      </c>
      <c r="I7" s="2" t="s">
        <v>26</v>
      </c>
      <c r="J7">
        <v>900.79</v>
      </c>
      <c r="K7">
        <v>1106.51</v>
      </c>
      <c r="L7" s="2" t="s">
        <v>30</v>
      </c>
      <c r="M7" s="7">
        <v>0.21</v>
      </c>
      <c r="N7">
        <v>0.21</v>
      </c>
      <c r="O7" s="2" t="s">
        <v>18</v>
      </c>
      <c r="P7" s="2" t="s">
        <v>19</v>
      </c>
      <c r="Q7" s="2" t="s">
        <v>37</v>
      </c>
      <c r="R7" s="6">
        <f>(1-M7)*الجدول1_1[[#This Row],[Sales_Amount]]</f>
        <v>2971.3085000000001</v>
      </c>
      <c r="S7"/>
      <c r="T7" s="3" t="s">
        <v>59</v>
      </c>
      <c r="U7" s="3">
        <v>0.2</v>
      </c>
      <c r="W7" s="3" t="s">
        <v>59</v>
      </c>
      <c r="X7" s="3" t="e">
        <v>#N/A</v>
      </c>
    </row>
    <row r="8" spans="1:24" x14ac:dyDescent="0.3">
      <c r="A8">
        <v>1083</v>
      </c>
      <c r="B8" s="1">
        <v>45027</v>
      </c>
      <c r="C8" s="2" t="s">
        <v>14</v>
      </c>
      <c r="D8" s="2" t="s">
        <v>21</v>
      </c>
      <c r="E8">
        <v>-1877.0634</v>
      </c>
      <c r="F8">
        <v>86.563400000000001</v>
      </c>
      <c r="G8">
        <v>618.30999999999995</v>
      </c>
      <c r="H8">
        <v>29</v>
      </c>
      <c r="I8" s="2" t="s">
        <v>16</v>
      </c>
      <c r="J8">
        <v>2408.81</v>
      </c>
      <c r="K8">
        <v>2624.09</v>
      </c>
      <c r="L8" s="2" t="s">
        <v>17</v>
      </c>
      <c r="M8" s="7">
        <v>0.14000000000000001</v>
      </c>
      <c r="N8">
        <v>0.14000000000000001</v>
      </c>
      <c r="O8" s="2" t="s">
        <v>18</v>
      </c>
      <c r="P8" s="2" t="s">
        <v>19</v>
      </c>
      <c r="Q8" s="2" t="s">
        <v>23</v>
      </c>
      <c r="R8" s="6">
        <f>(1-M8)*الجدول1_1[[#This Row],[Sales_Amount]]</f>
        <v>531.74659999999994</v>
      </c>
      <c r="S8"/>
      <c r="T8" s="3" t="s">
        <v>60</v>
      </c>
      <c r="U8" s="3">
        <v>8.7650685987454444E-2</v>
      </c>
      <c r="W8" s="3" t="s">
        <v>60</v>
      </c>
      <c r="X8" s="3">
        <v>2382.6696316320204</v>
      </c>
    </row>
    <row r="9" spans="1:24" x14ac:dyDescent="0.3">
      <c r="A9">
        <v>1087</v>
      </c>
      <c r="B9" s="1">
        <v>44932</v>
      </c>
      <c r="C9" s="2" t="s">
        <v>38</v>
      </c>
      <c r="D9" s="2" t="s">
        <v>25</v>
      </c>
      <c r="E9">
        <v>3072.5396000000001</v>
      </c>
      <c r="F9">
        <v>923.87040000000002</v>
      </c>
      <c r="G9">
        <v>7698.92</v>
      </c>
      <c r="H9">
        <v>46</v>
      </c>
      <c r="I9" s="2" t="s">
        <v>16</v>
      </c>
      <c r="J9">
        <v>3702.51</v>
      </c>
      <c r="K9">
        <v>3964.65</v>
      </c>
      <c r="L9" s="2" t="s">
        <v>30</v>
      </c>
      <c r="M9" s="7">
        <v>0.12</v>
      </c>
      <c r="N9">
        <v>0.12</v>
      </c>
      <c r="O9" s="2" t="s">
        <v>27</v>
      </c>
      <c r="P9" s="2" t="s">
        <v>19</v>
      </c>
      <c r="Q9" s="2" t="s">
        <v>39</v>
      </c>
      <c r="R9" s="6">
        <f>(1-M9)*الجدول1_1[[#This Row],[Sales_Amount]]</f>
        <v>6775.0496000000003</v>
      </c>
      <c r="S9"/>
      <c r="T9" s="3" t="s">
        <v>61</v>
      </c>
      <c r="U9" s="3">
        <v>7.6826427540713418E-3</v>
      </c>
      <c r="W9" s="3" t="s">
        <v>61</v>
      </c>
      <c r="X9" s="3">
        <v>5677114.5735014677</v>
      </c>
    </row>
    <row r="10" spans="1:24" x14ac:dyDescent="0.3">
      <c r="A10">
        <v>1075</v>
      </c>
      <c r="B10" s="1">
        <v>45106</v>
      </c>
      <c r="C10" s="2" t="s">
        <v>24</v>
      </c>
      <c r="D10" s="2" t="s">
        <v>25</v>
      </c>
      <c r="E10">
        <v>3274.1605</v>
      </c>
      <c r="F10">
        <v>211.1695</v>
      </c>
      <c r="G10">
        <v>4223.3900000000003</v>
      </c>
      <c r="H10">
        <v>30</v>
      </c>
      <c r="I10" s="2" t="s">
        <v>16</v>
      </c>
      <c r="J10">
        <v>738.06</v>
      </c>
      <c r="K10">
        <v>1095.44999999999</v>
      </c>
      <c r="L10" s="2" t="s">
        <v>30</v>
      </c>
      <c r="M10" s="7">
        <v>0.05</v>
      </c>
      <c r="N10">
        <v>0.05</v>
      </c>
      <c r="O10" s="2" t="s">
        <v>27</v>
      </c>
      <c r="P10" s="2" t="s">
        <v>19</v>
      </c>
      <c r="Q10" s="2" t="s">
        <v>28</v>
      </c>
      <c r="R10" s="6">
        <f>(1-M10)*الجدول1_1[[#This Row],[Sales_Amount]]</f>
        <v>4012.2204999999999</v>
      </c>
      <c r="S10"/>
      <c r="T10" s="3" t="s">
        <v>62</v>
      </c>
      <c r="U10" s="3">
        <v>-1.2255654381922882</v>
      </c>
      <c r="W10" s="3" t="s">
        <v>62</v>
      </c>
      <c r="X10" s="3">
        <v>-0.8065933776796661</v>
      </c>
    </row>
    <row r="11" spans="1:24" x14ac:dyDescent="0.3">
      <c r="A11">
        <v>1088</v>
      </c>
      <c r="B11" s="1">
        <v>45246</v>
      </c>
      <c r="C11" s="2" t="s">
        <v>38</v>
      </c>
      <c r="D11" s="2" t="s">
        <v>15</v>
      </c>
      <c r="E11">
        <v>4119.0964999999997</v>
      </c>
      <c r="F11">
        <v>1959.2435</v>
      </c>
      <c r="G11">
        <v>8518.4500000000007</v>
      </c>
      <c r="H11">
        <v>13</v>
      </c>
      <c r="I11" s="2" t="s">
        <v>16</v>
      </c>
      <c r="J11">
        <v>2440.11</v>
      </c>
      <c r="K11">
        <v>2517.6</v>
      </c>
      <c r="L11" s="2" t="s">
        <v>30</v>
      </c>
      <c r="M11" s="7">
        <v>0.23</v>
      </c>
      <c r="N11">
        <v>0.23</v>
      </c>
      <c r="O11" s="2" t="s">
        <v>27</v>
      </c>
      <c r="P11" s="2" t="s">
        <v>22</v>
      </c>
      <c r="Q11" s="2" t="s">
        <v>40</v>
      </c>
      <c r="R11" s="6">
        <f>(1-M11)*الجدول1_1[[#This Row],[Sales_Amount]]</f>
        <v>6559.2065000000011</v>
      </c>
      <c r="S11"/>
      <c r="T11" s="3" t="s">
        <v>63</v>
      </c>
      <c r="U11" s="3">
        <v>0.11964913135317504</v>
      </c>
      <c r="W11" s="3" t="s">
        <v>63</v>
      </c>
      <c r="X11" s="3">
        <v>0.32783497380006971</v>
      </c>
    </row>
    <row r="12" spans="1:24" x14ac:dyDescent="0.3">
      <c r="A12">
        <v>1100</v>
      </c>
      <c r="B12" s="1">
        <v>45152</v>
      </c>
      <c r="C12" s="2" t="s">
        <v>14</v>
      </c>
      <c r="D12" s="2" t="s">
        <v>21</v>
      </c>
      <c r="E12">
        <v>922.0308</v>
      </c>
      <c r="F12">
        <v>175.89920000000001</v>
      </c>
      <c r="G12">
        <v>2198.7399999999998</v>
      </c>
      <c r="H12">
        <v>43</v>
      </c>
      <c r="I12" s="2" t="s">
        <v>26</v>
      </c>
      <c r="J12">
        <v>1100.81</v>
      </c>
      <c r="K12">
        <v>1137.44</v>
      </c>
      <c r="L12" s="2" t="s">
        <v>17</v>
      </c>
      <c r="M12" s="7">
        <v>0.08</v>
      </c>
      <c r="N12">
        <v>0.08</v>
      </c>
      <c r="O12" s="2" t="s">
        <v>27</v>
      </c>
      <c r="P12" s="2" t="s">
        <v>19</v>
      </c>
      <c r="Q12" s="2" t="s">
        <v>23</v>
      </c>
      <c r="R12" s="6">
        <f>(1-M12)*الجدول1_1[[#This Row],[Sales_Amount]]</f>
        <v>2022.8407999999999</v>
      </c>
      <c r="S12"/>
      <c r="T12" s="3" t="s">
        <v>64</v>
      </c>
      <c r="U12" s="3">
        <v>0.3</v>
      </c>
      <c r="W12" s="3" t="s">
        <v>64</v>
      </c>
      <c r="X12" s="3">
        <v>9533.0043000000005</v>
      </c>
    </row>
    <row r="13" spans="1:24" x14ac:dyDescent="0.3">
      <c r="A13">
        <v>1024</v>
      </c>
      <c r="B13" s="1">
        <v>45241</v>
      </c>
      <c r="C13" s="2" t="s">
        <v>38</v>
      </c>
      <c r="D13" s="2" t="s">
        <v>21</v>
      </c>
      <c r="E13">
        <v>5985.79</v>
      </c>
      <c r="F13">
        <v>0</v>
      </c>
      <c r="G13">
        <v>6607.8</v>
      </c>
      <c r="H13">
        <v>21</v>
      </c>
      <c r="I13" s="2" t="s">
        <v>26</v>
      </c>
      <c r="J13">
        <v>622.01</v>
      </c>
      <c r="K13">
        <v>641.09</v>
      </c>
      <c r="L13" s="2" t="s">
        <v>17</v>
      </c>
      <c r="M13" s="7">
        <v>0</v>
      </c>
      <c r="N13">
        <v>0</v>
      </c>
      <c r="O13" s="2" t="s">
        <v>27</v>
      </c>
      <c r="P13" s="2" t="s">
        <v>22</v>
      </c>
      <c r="Q13" s="2" t="s">
        <v>41</v>
      </c>
      <c r="R13" s="6">
        <f>(1-M13)*الجدول1_1[[#This Row],[Sales_Amount]]</f>
        <v>6607.8</v>
      </c>
      <c r="S13"/>
      <c r="T13" s="3" t="s">
        <v>65</v>
      </c>
      <c r="U13" s="3">
        <v>0</v>
      </c>
      <c r="W13" s="3" t="s">
        <v>65</v>
      </c>
      <c r="X13" s="3">
        <v>103.131</v>
      </c>
    </row>
    <row r="14" spans="1:24" x14ac:dyDescent="0.3">
      <c r="A14">
        <v>1003</v>
      </c>
      <c r="B14" s="1">
        <v>45291</v>
      </c>
      <c r="C14" s="2" t="s">
        <v>42</v>
      </c>
      <c r="D14" s="2" t="s">
        <v>25</v>
      </c>
      <c r="E14">
        <v>-369.80799999999999</v>
      </c>
      <c r="F14">
        <v>955.11800000000005</v>
      </c>
      <c r="G14">
        <v>4775.59</v>
      </c>
      <c r="H14">
        <v>30</v>
      </c>
      <c r="I14" s="2" t="s">
        <v>16</v>
      </c>
      <c r="J14">
        <v>4190.28</v>
      </c>
      <c r="K14">
        <v>4270.6499999999996</v>
      </c>
      <c r="L14" s="2" t="s">
        <v>30</v>
      </c>
      <c r="M14" s="7">
        <v>0.2</v>
      </c>
      <c r="N14">
        <v>0.2</v>
      </c>
      <c r="O14" s="2" t="s">
        <v>18</v>
      </c>
      <c r="P14" s="2" t="s">
        <v>19</v>
      </c>
      <c r="Q14" s="2" t="s">
        <v>43</v>
      </c>
      <c r="R14" s="6">
        <f>(1-M14)*الجدول1_1[[#This Row],[Sales_Amount]]</f>
        <v>3820.4720000000002</v>
      </c>
      <c r="S14"/>
      <c r="T14" s="3" t="s">
        <v>66</v>
      </c>
      <c r="U14" s="3">
        <v>0.3</v>
      </c>
      <c r="W14" s="3" t="s">
        <v>66</v>
      </c>
      <c r="X14" s="3">
        <v>9636.1352999999999</v>
      </c>
    </row>
    <row r="15" spans="1:24" x14ac:dyDescent="0.3">
      <c r="A15">
        <v>1022</v>
      </c>
      <c r="B15" s="1">
        <v>45155</v>
      </c>
      <c r="C15" s="2" t="s">
        <v>33</v>
      </c>
      <c r="D15" s="2" t="s">
        <v>25</v>
      </c>
      <c r="E15">
        <v>3720.4205000000002</v>
      </c>
      <c r="F15">
        <v>2555.9295000000002</v>
      </c>
      <c r="G15">
        <v>8813.5499999999993</v>
      </c>
      <c r="H15">
        <v>21</v>
      </c>
      <c r="I15" s="2" t="s">
        <v>26</v>
      </c>
      <c r="J15">
        <v>2537.1999999999998</v>
      </c>
      <c r="K15">
        <v>2869.6</v>
      </c>
      <c r="L15" s="2" t="s">
        <v>30</v>
      </c>
      <c r="M15" s="7">
        <v>0.28999999999999998</v>
      </c>
      <c r="N15">
        <v>0.28999999999999998</v>
      </c>
      <c r="O15" s="2" t="s">
        <v>27</v>
      </c>
      <c r="P15" s="2" t="s">
        <v>22</v>
      </c>
      <c r="Q15" s="2" t="s">
        <v>44</v>
      </c>
      <c r="R15" s="6">
        <f>(1-M15)*الجدول1_1[[#This Row],[Sales_Amount]]</f>
        <v>6257.6204999999991</v>
      </c>
      <c r="S15"/>
      <c r="T15" s="3" t="s">
        <v>67</v>
      </c>
      <c r="U15" s="3">
        <v>13.959999999999992</v>
      </c>
      <c r="W15" s="3" t="s">
        <v>67</v>
      </c>
      <c r="X15" s="3">
        <v>394080.44270000001</v>
      </c>
    </row>
    <row r="16" spans="1:24" ht="14.5" thickBot="1" x14ac:dyDescent="0.35">
      <c r="A16">
        <v>1053</v>
      </c>
      <c r="B16" s="1">
        <v>45215</v>
      </c>
      <c r="C16" s="2" t="s">
        <v>14</v>
      </c>
      <c r="D16" s="2" t="s">
        <v>15</v>
      </c>
      <c r="E16">
        <v>1712.1905999999999</v>
      </c>
      <c r="F16">
        <v>402.44940000000003</v>
      </c>
      <c r="G16">
        <v>2235.83</v>
      </c>
      <c r="H16">
        <v>48</v>
      </c>
      <c r="I16" s="2" t="s">
        <v>16</v>
      </c>
      <c r="J16">
        <v>121.19</v>
      </c>
      <c r="K16">
        <v>487.65</v>
      </c>
      <c r="L16" s="2" t="s">
        <v>30</v>
      </c>
      <c r="M16" s="7">
        <v>0.18</v>
      </c>
      <c r="N16">
        <v>0.18</v>
      </c>
      <c r="O16" s="2" t="s">
        <v>18</v>
      </c>
      <c r="P16" s="2" t="s">
        <v>22</v>
      </c>
      <c r="Q16" s="2" t="s">
        <v>20</v>
      </c>
      <c r="R16" s="6">
        <f>(1-M16)*الجدول1_1[[#This Row],[Sales_Amount]]</f>
        <v>1833.3806000000002</v>
      </c>
      <c r="S16"/>
      <c r="T16" s="4" t="s">
        <v>68</v>
      </c>
      <c r="U16" s="4">
        <v>99</v>
      </c>
      <c r="W16" s="4" t="s">
        <v>68</v>
      </c>
      <c r="X16" s="4">
        <v>99</v>
      </c>
    </row>
    <row r="17" spans="1:19" x14ac:dyDescent="0.3">
      <c r="A17">
        <v>1002</v>
      </c>
      <c r="B17" s="1">
        <v>45076</v>
      </c>
      <c r="C17" s="2" t="s">
        <v>24</v>
      </c>
      <c r="D17" s="2" t="s">
        <v>15</v>
      </c>
      <c r="E17">
        <v>2513.1759999999999</v>
      </c>
      <c r="F17">
        <v>272.41399999999999</v>
      </c>
      <c r="G17">
        <v>6810.35</v>
      </c>
      <c r="H17">
        <v>17</v>
      </c>
      <c r="I17" s="2" t="s">
        <v>16</v>
      </c>
      <c r="J17">
        <v>4024.76</v>
      </c>
      <c r="K17">
        <v>4420.1499999999996</v>
      </c>
      <c r="L17" s="2" t="s">
        <v>17</v>
      </c>
      <c r="M17" s="7">
        <v>0.04</v>
      </c>
      <c r="N17">
        <v>0.04</v>
      </c>
      <c r="O17" s="2" t="s">
        <v>18</v>
      </c>
      <c r="P17" s="2" t="s">
        <v>19</v>
      </c>
      <c r="Q17" s="2" t="s">
        <v>45</v>
      </c>
      <c r="R17" s="6">
        <f>(1-M17)*الجدول1_1[[#This Row],[Sales_Amount]]</f>
        <v>6537.9359999999997</v>
      </c>
      <c r="S17"/>
    </row>
    <row r="18" spans="1:19" x14ac:dyDescent="0.3">
      <c r="A18">
        <v>1030</v>
      </c>
      <c r="B18" s="1">
        <v>45124</v>
      </c>
      <c r="C18" s="2" t="s">
        <v>24</v>
      </c>
      <c r="D18" s="2" t="s">
        <v>21</v>
      </c>
      <c r="E18">
        <v>-811.95479999999998</v>
      </c>
      <c r="F18">
        <v>786.10479999999995</v>
      </c>
      <c r="G18">
        <v>3023.48</v>
      </c>
      <c r="H18">
        <v>19</v>
      </c>
      <c r="I18" s="2" t="s">
        <v>29</v>
      </c>
      <c r="J18">
        <v>3049.33</v>
      </c>
      <c r="K18">
        <v>3209.22</v>
      </c>
      <c r="L18" s="2" t="s">
        <v>17</v>
      </c>
      <c r="M18" s="7">
        <v>0.26</v>
      </c>
      <c r="N18">
        <v>0.26</v>
      </c>
      <c r="O18" s="2" t="s">
        <v>18</v>
      </c>
      <c r="P18" s="2" t="s">
        <v>19</v>
      </c>
      <c r="Q18" s="2" t="s">
        <v>47</v>
      </c>
      <c r="R18" s="6">
        <f>(1-M18)*الجدول1_1[[#This Row],[Sales_Amount]]</f>
        <v>2237.3751999999999</v>
      </c>
      <c r="S18"/>
    </row>
    <row r="19" spans="1:19" x14ac:dyDescent="0.3">
      <c r="A19">
        <v>1038</v>
      </c>
      <c r="B19" s="1">
        <v>44996</v>
      </c>
      <c r="C19" s="2" t="s">
        <v>14</v>
      </c>
      <c r="D19" s="2" t="s">
        <v>25</v>
      </c>
      <c r="E19">
        <v>-1192.6745000000001</v>
      </c>
      <c r="F19">
        <v>101.6645</v>
      </c>
      <c r="G19">
        <v>1452.35</v>
      </c>
      <c r="H19">
        <v>15</v>
      </c>
      <c r="I19" s="2" t="s">
        <v>29</v>
      </c>
      <c r="J19">
        <v>2543.36</v>
      </c>
      <c r="K19">
        <v>2790.1</v>
      </c>
      <c r="L19" s="2" t="s">
        <v>17</v>
      </c>
      <c r="M19" s="7">
        <v>7.0000000000000007E-2</v>
      </c>
      <c r="N19">
        <v>7.0000000000000007E-2</v>
      </c>
      <c r="O19" s="2" t="s">
        <v>18</v>
      </c>
      <c r="P19" s="2" t="s">
        <v>19</v>
      </c>
      <c r="Q19" s="2" t="s">
        <v>32</v>
      </c>
      <c r="R19" s="6">
        <f>(1-M19)*الجدول1_1[[#This Row],[Sales_Amount]]</f>
        <v>1350.6854999999998</v>
      </c>
      <c r="S19"/>
    </row>
    <row r="20" spans="1:19" x14ac:dyDescent="0.3">
      <c r="A20">
        <v>1064</v>
      </c>
      <c r="B20" s="1">
        <v>44930</v>
      </c>
      <c r="C20" s="2" t="s">
        <v>38</v>
      </c>
      <c r="D20" s="2" t="s">
        <v>34</v>
      </c>
      <c r="E20">
        <v>1757.6967999999999</v>
      </c>
      <c r="F20">
        <v>889.45320000000004</v>
      </c>
      <c r="G20">
        <v>7412.11</v>
      </c>
      <c r="H20">
        <v>10</v>
      </c>
      <c r="I20" s="2" t="s">
        <v>35</v>
      </c>
      <c r="J20">
        <v>4764.96</v>
      </c>
      <c r="K20">
        <v>5074.42</v>
      </c>
      <c r="L20" s="2" t="s">
        <v>30</v>
      </c>
      <c r="M20" s="7">
        <v>0.12</v>
      </c>
      <c r="N20">
        <v>0.12</v>
      </c>
      <c r="O20" s="2" t="s">
        <v>18</v>
      </c>
      <c r="P20" s="2" t="s">
        <v>19</v>
      </c>
      <c r="Q20" s="2" t="s">
        <v>48</v>
      </c>
      <c r="R20" s="6">
        <f>(1-M20)*الجدول1_1[[#This Row],[Sales_Amount]]</f>
        <v>6522.6567999999997</v>
      </c>
      <c r="S20"/>
    </row>
    <row r="21" spans="1:19" x14ac:dyDescent="0.3">
      <c r="A21">
        <v>1060</v>
      </c>
      <c r="B21" s="1">
        <v>45276</v>
      </c>
      <c r="C21" s="2" t="s">
        <v>38</v>
      </c>
      <c r="D21" s="2" t="s">
        <v>34</v>
      </c>
      <c r="E21">
        <v>-753.73260000000005</v>
      </c>
      <c r="F21">
        <v>193.48259999999999</v>
      </c>
      <c r="G21">
        <v>3224.71</v>
      </c>
      <c r="H21">
        <v>44</v>
      </c>
      <c r="I21" s="2" t="s">
        <v>29</v>
      </c>
      <c r="J21">
        <v>3784.96</v>
      </c>
      <c r="K21">
        <v>4276.99</v>
      </c>
      <c r="L21" s="2" t="s">
        <v>30</v>
      </c>
      <c r="M21" s="7">
        <v>0.06</v>
      </c>
      <c r="N21">
        <v>0.06</v>
      </c>
      <c r="O21" s="2" t="s">
        <v>27</v>
      </c>
      <c r="P21" s="2" t="s">
        <v>22</v>
      </c>
      <c r="Q21" s="2" t="s">
        <v>48</v>
      </c>
      <c r="R21" s="6">
        <f>(1-M21)*الجدول1_1[[#This Row],[Sales_Amount]]</f>
        <v>3031.2273999999998</v>
      </c>
      <c r="S21"/>
    </row>
    <row r="22" spans="1:19" x14ac:dyDescent="0.3">
      <c r="A22">
        <v>1033</v>
      </c>
      <c r="B22" s="1">
        <v>45244</v>
      </c>
      <c r="C22" s="2" t="s">
        <v>24</v>
      </c>
      <c r="D22" s="2" t="s">
        <v>25</v>
      </c>
      <c r="E22">
        <v>147.70400000000001</v>
      </c>
      <c r="F22">
        <v>882.596</v>
      </c>
      <c r="G22">
        <v>4011.8</v>
      </c>
      <c r="H22">
        <v>23</v>
      </c>
      <c r="I22" s="2" t="s">
        <v>16</v>
      </c>
      <c r="J22">
        <v>2981.5</v>
      </c>
      <c r="K22">
        <v>3360.4</v>
      </c>
      <c r="L22" s="2" t="s">
        <v>17</v>
      </c>
      <c r="M22" s="7">
        <v>0.22</v>
      </c>
      <c r="N22">
        <v>0.22</v>
      </c>
      <c r="O22" s="2" t="s">
        <v>27</v>
      </c>
      <c r="P22" s="2" t="s">
        <v>22</v>
      </c>
      <c r="Q22" s="2" t="s">
        <v>28</v>
      </c>
      <c r="R22" s="6">
        <f>(1-M22)*الجدول1_1[[#This Row],[Sales_Amount]]</f>
        <v>3129.2040000000002</v>
      </c>
      <c r="S22"/>
    </row>
    <row r="23" spans="1:19" x14ac:dyDescent="0.3">
      <c r="A23">
        <v>1076</v>
      </c>
      <c r="B23" s="1">
        <v>45276</v>
      </c>
      <c r="C23" s="2" t="s">
        <v>38</v>
      </c>
      <c r="D23" s="2" t="s">
        <v>34</v>
      </c>
      <c r="E23">
        <v>2208.9699999999998</v>
      </c>
      <c r="F23">
        <v>1432.15</v>
      </c>
      <c r="G23">
        <v>7160.75</v>
      </c>
      <c r="H23">
        <v>30</v>
      </c>
      <c r="I23" s="2" t="s">
        <v>29</v>
      </c>
      <c r="J23">
        <v>3519.63</v>
      </c>
      <c r="K23">
        <v>3774.65</v>
      </c>
      <c r="L23" s="2" t="s">
        <v>30</v>
      </c>
      <c r="M23" s="7">
        <v>0.2</v>
      </c>
      <c r="N23">
        <v>0.2</v>
      </c>
      <c r="O23" s="2" t="s">
        <v>31</v>
      </c>
      <c r="P23" s="2" t="s">
        <v>22</v>
      </c>
      <c r="Q23" s="2" t="s">
        <v>48</v>
      </c>
      <c r="R23" s="6">
        <f>(1-M23)*الجدول1_1[[#This Row],[Sales_Amount]]</f>
        <v>5728.6</v>
      </c>
      <c r="S23"/>
    </row>
    <row r="24" spans="1:19" x14ac:dyDescent="0.3">
      <c r="A24">
        <v>1058</v>
      </c>
      <c r="B24" s="1">
        <v>45021</v>
      </c>
      <c r="C24" s="2" t="s">
        <v>42</v>
      </c>
      <c r="D24" s="2" t="s">
        <v>15</v>
      </c>
      <c r="E24">
        <v>915.52390000000003</v>
      </c>
      <c r="F24">
        <v>145.05609999999999</v>
      </c>
      <c r="G24">
        <v>2072.23</v>
      </c>
      <c r="H24">
        <v>33</v>
      </c>
      <c r="I24" s="2" t="s">
        <v>16</v>
      </c>
      <c r="J24">
        <v>1011.65</v>
      </c>
      <c r="K24">
        <v>1084.28</v>
      </c>
      <c r="L24" s="2" t="s">
        <v>17</v>
      </c>
      <c r="M24" s="7">
        <v>7.0000000000000007E-2</v>
      </c>
      <c r="N24">
        <v>7.0000000000000007E-2</v>
      </c>
      <c r="O24" s="2" t="s">
        <v>27</v>
      </c>
      <c r="P24" s="2" t="s">
        <v>22</v>
      </c>
      <c r="Q24" s="2" t="s">
        <v>49</v>
      </c>
      <c r="R24" s="6">
        <f>(1-M24)*الجدول1_1[[#This Row],[Sales_Amount]]</f>
        <v>1927.1738999999998</v>
      </c>
      <c r="S24"/>
    </row>
    <row r="25" spans="1:19" x14ac:dyDescent="0.3">
      <c r="A25">
        <v>1089</v>
      </c>
      <c r="B25" s="1">
        <v>45237</v>
      </c>
      <c r="C25" s="2" t="s">
        <v>14</v>
      </c>
      <c r="D25" s="2" t="s">
        <v>21</v>
      </c>
      <c r="E25">
        <v>-1712.9712</v>
      </c>
      <c r="F25">
        <v>500.71120000000002</v>
      </c>
      <c r="G25">
        <v>2945.36</v>
      </c>
      <c r="H25">
        <v>47</v>
      </c>
      <c r="I25" s="2" t="s">
        <v>16</v>
      </c>
      <c r="J25">
        <v>4157.62</v>
      </c>
      <c r="K25">
        <v>4314.5599999999904</v>
      </c>
      <c r="L25" s="2" t="s">
        <v>30</v>
      </c>
      <c r="M25" s="7">
        <v>0.17</v>
      </c>
      <c r="N25">
        <v>0.17</v>
      </c>
      <c r="O25" s="2" t="s">
        <v>27</v>
      </c>
      <c r="P25" s="2" t="s">
        <v>22</v>
      </c>
      <c r="Q25" s="2" t="s">
        <v>23</v>
      </c>
      <c r="R25" s="6">
        <f>(1-M25)*الجدول1_1[[#This Row],[Sales_Amount]]</f>
        <v>2444.6487999999999</v>
      </c>
      <c r="S25"/>
    </row>
    <row r="26" spans="1:19" x14ac:dyDescent="0.3">
      <c r="A26">
        <v>1049</v>
      </c>
      <c r="B26" s="1">
        <v>45063</v>
      </c>
      <c r="C26" s="2" t="s">
        <v>42</v>
      </c>
      <c r="D26" s="2" t="s">
        <v>21</v>
      </c>
      <c r="E26">
        <v>-185.7936</v>
      </c>
      <c r="F26">
        <v>635.98360000000002</v>
      </c>
      <c r="G26">
        <v>3741.08</v>
      </c>
      <c r="H26">
        <v>1</v>
      </c>
      <c r="I26" s="2" t="s">
        <v>16</v>
      </c>
      <c r="J26">
        <v>3290.89</v>
      </c>
      <c r="K26">
        <v>3317.75</v>
      </c>
      <c r="L26" s="2" t="s">
        <v>17</v>
      </c>
      <c r="M26" s="7">
        <v>0.17</v>
      </c>
      <c r="N26">
        <v>0.17</v>
      </c>
      <c r="O26" s="2" t="s">
        <v>27</v>
      </c>
      <c r="P26" s="2" t="s">
        <v>19</v>
      </c>
      <c r="Q26" s="2" t="s">
        <v>51</v>
      </c>
      <c r="R26" s="6">
        <f>(1-M26)*الجدول1_1[[#This Row],[Sales_Amount]]</f>
        <v>3105.0963999999999</v>
      </c>
      <c r="S26"/>
    </row>
    <row r="27" spans="1:19" x14ac:dyDescent="0.3">
      <c r="A27">
        <v>1091</v>
      </c>
      <c r="B27" s="1">
        <v>45173</v>
      </c>
      <c r="C27" s="2" t="s">
        <v>33</v>
      </c>
      <c r="D27" s="2" t="s">
        <v>25</v>
      </c>
      <c r="E27">
        <v>-1450.8566000000001</v>
      </c>
      <c r="F27">
        <v>40.506599999999999</v>
      </c>
      <c r="G27">
        <v>675.11</v>
      </c>
      <c r="H27">
        <v>44</v>
      </c>
      <c r="I27" s="2" t="s">
        <v>26</v>
      </c>
      <c r="J27">
        <v>2085.46</v>
      </c>
      <c r="K27">
        <v>2406.58</v>
      </c>
      <c r="L27" s="2" t="s">
        <v>17</v>
      </c>
      <c r="M27" s="7">
        <v>0.06</v>
      </c>
      <c r="N27">
        <v>0.06</v>
      </c>
      <c r="O27" s="2" t="s">
        <v>27</v>
      </c>
      <c r="P27" s="2" t="s">
        <v>22</v>
      </c>
      <c r="Q27" s="2" t="s">
        <v>44</v>
      </c>
      <c r="R27" s="6">
        <f>(1-M27)*الجدول1_1[[#This Row],[Sales_Amount]]</f>
        <v>634.60339999999997</v>
      </c>
      <c r="S27"/>
    </row>
    <row r="28" spans="1:19" x14ac:dyDescent="0.3">
      <c r="A28">
        <v>1059</v>
      </c>
      <c r="B28" s="1">
        <v>45169</v>
      </c>
      <c r="C28" s="2" t="s">
        <v>42</v>
      </c>
      <c r="D28" s="2" t="s">
        <v>15</v>
      </c>
      <c r="E28">
        <v>-2153.7494000000002</v>
      </c>
      <c r="F28">
        <v>24.0794</v>
      </c>
      <c r="G28">
        <v>1203.97</v>
      </c>
      <c r="H28">
        <v>35</v>
      </c>
      <c r="I28" s="2" t="s">
        <v>26</v>
      </c>
      <c r="J28">
        <v>3333.64</v>
      </c>
      <c r="K28">
        <v>3764.52</v>
      </c>
      <c r="L28" s="2" t="s">
        <v>17</v>
      </c>
      <c r="M28" s="7">
        <v>0.02</v>
      </c>
      <c r="N28">
        <v>0.02</v>
      </c>
      <c r="O28" s="2" t="s">
        <v>31</v>
      </c>
      <c r="P28" s="2" t="s">
        <v>19</v>
      </c>
      <c r="Q28" s="2" t="s">
        <v>49</v>
      </c>
      <c r="R28" s="6">
        <f>(1-M28)*الجدول1_1[[#This Row],[Sales_Amount]]</f>
        <v>1179.8905999999999</v>
      </c>
      <c r="S28"/>
    </row>
    <row r="29" spans="1:19" x14ac:dyDescent="0.3">
      <c r="A29">
        <v>1042</v>
      </c>
      <c r="B29" s="1">
        <v>44957</v>
      </c>
      <c r="C29" s="2" t="s">
        <v>42</v>
      </c>
      <c r="D29" s="2" t="s">
        <v>15</v>
      </c>
      <c r="E29">
        <v>4467.6894000000002</v>
      </c>
      <c r="F29">
        <v>104.14060000000001</v>
      </c>
      <c r="G29">
        <v>5207.03</v>
      </c>
      <c r="H29">
        <v>11</v>
      </c>
      <c r="I29" s="2" t="s">
        <v>26</v>
      </c>
      <c r="J29">
        <v>635.20000000000005</v>
      </c>
      <c r="K29">
        <v>814.14</v>
      </c>
      <c r="L29" s="2" t="s">
        <v>17</v>
      </c>
      <c r="M29" s="7">
        <v>0.02</v>
      </c>
      <c r="N29">
        <v>0.02</v>
      </c>
      <c r="O29" s="2" t="s">
        <v>18</v>
      </c>
      <c r="P29" s="2" t="s">
        <v>19</v>
      </c>
      <c r="Q29" s="2" t="s">
        <v>49</v>
      </c>
      <c r="R29" s="6">
        <f>(1-M29)*الجدول1_1[[#This Row],[Sales_Amount]]</f>
        <v>5102.8894</v>
      </c>
      <c r="S29"/>
    </row>
    <row r="30" spans="1:19" x14ac:dyDescent="0.3">
      <c r="A30">
        <v>1092</v>
      </c>
      <c r="B30" s="1">
        <v>44966</v>
      </c>
      <c r="C30" s="2" t="s">
        <v>24</v>
      </c>
      <c r="D30" s="2" t="s">
        <v>21</v>
      </c>
      <c r="E30">
        <v>-112.991</v>
      </c>
      <c r="F30">
        <v>824.75099999999998</v>
      </c>
      <c r="G30">
        <v>2749.17</v>
      </c>
      <c r="H30">
        <v>34</v>
      </c>
      <c r="I30" s="2" t="s">
        <v>16</v>
      </c>
      <c r="J30">
        <v>2037.41</v>
      </c>
      <c r="K30">
        <v>2238.65</v>
      </c>
      <c r="L30" s="2" t="s">
        <v>30</v>
      </c>
      <c r="M30" s="7">
        <v>0.3</v>
      </c>
      <c r="N30">
        <v>0.3</v>
      </c>
      <c r="O30" s="2" t="s">
        <v>31</v>
      </c>
      <c r="P30" s="2" t="s">
        <v>19</v>
      </c>
      <c r="Q30" s="2" t="s">
        <v>47</v>
      </c>
      <c r="R30" s="6">
        <f>(1-M30)*الجدول1_1[[#This Row],[Sales_Amount]]</f>
        <v>1924.4189999999999</v>
      </c>
      <c r="S30"/>
    </row>
    <row r="31" spans="1:19" x14ac:dyDescent="0.3">
      <c r="A31">
        <v>1080</v>
      </c>
      <c r="B31" s="1">
        <v>44962</v>
      </c>
      <c r="C31" s="2" t="s">
        <v>33</v>
      </c>
      <c r="D31" s="2" t="s">
        <v>25</v>
      </c>
      <c r="E31">
        <v>-964.78880000000004</v>
      </c>
      <c r="F31">
        <v>68.728800000000007</v>
      </c>
      <c r="G31">
        <v>245.46</v>
      </c>
      <c r="H31">
        <v>9</v>
      </c>
      <c r="I31" s="2" t="s">
        <v>35</v>
      </c>
      <c r="J31">
        <v>1141.52</v>
      </c>
      <c r="K31">
        <v>1550.19</v>
      </c>
      <c r="L31" s="2" t="s">
        <v>30</v>
      </c>
      <c r="M31" s="7">
        <v>0.28000000000000003</v>
      </c>
      <c r="N31">
        <v>0.28000000000000003</v>
      </c>
      <c r="O31" s="2" t="s">
        <v>31</v>
      </c>
      <c r="P31" s="2" t="s">
        <v>22</v>
      </c>
      <c r="Q31" s="2" t="s">
        <v>44</v>
      </c>
      <c r="R31" s="6">
        <f>(1-M31)*الجدول1_1[[#This Row],[Sales_Amount]]</f>
        <v>176.7312</v>
      </c>
      <c r="S31"/>
    </row>
    <row r="32" spans="1:19" x14ac:dyDescent="0.3">
      <c r="A32">
        <v>1062</v>
      </c>
      <c r="B32" s="1">
        <v>44932</v>
      </c>
      <c r="C32" s="2" t="s">
        <v>38</v>
      </c>
      <c r="D32" s="2" t="s">
        <v>34</v>
      </c>
      <c r="E32">
        <v>-2314.3488000000002</v>
      </c>
      <c r="F32">
        <v>997.51880000000006</v>
      </c>
      <c r="G32">
        <v>3439.72</v>
      </c>
      <c r="H32">
        <v>15</v>
      </c>
      <c r="I32" s="2" t="s">
        <v>29</v>
      </c>
      <c r="J32">
        <v>4756.55</v>
      </c>
      <c r="K32">
        <v>4888.46</v>
      </c>
      <c r="L32" s="2" t="s">
        <v>30</v>
      </c>
      <c r="M32" s="7">
        <v>0.28999999999999998</v>
      </c>
      <c r="N32">
        <v>0.28999999999999998</v>
      </c>
      <c r="O32" s="2" t="s">
        <v>31</v>
      </c>
      <c r="P32" s="2" t="s">
        <v>19</v>
      </c>
      <c r="Q32" s="2" t="s">
        <v>48</v>
      </c>
      <c r="R32" s="6">
        <f>(1-M32)*الجدول1_1[[#This Row],[Sales_Amount]]</f>
        <v>2442.2011999999995</v>
      </c>
      <c r="S32"/>
    </row>
    <row r="33" spans="1:19" x14ac:dyDescent="0.3">
      <c r="A33">
        <v>1047</v>
      </c>
      <c r="B33" s="1">
        <v>45146</v>
      </c>
      <c r="C33" s="2" t="s">
        <v>24</v>
      </c>
      <c r="D33" s="2" t="s">
        <v>15</v>
      </c>
      <c r="E33">
        <v>-209.98750000000001</v>
      </c>
      <c r="F33">
        <v>199.6875</v>
      </c>
      <c r="G33">
        <v>1331.25</v>
      </c>
      <c r="H33">
        <v>33</v>
      </c>
      <c r="I33" s="2" t="s">
        <v>35</v>
      </c>
      <c r="J33">
        <v>1341.55</v>
      </c>
      <c r="K33">
        <v>1427.21</v>
      </c>
      <c r="L33" s="2" t="s">
        <v>17</v>
      </c>
      <c r="M33" s="7">
        <v>0.15</v>
      </c>
      <c r="N33">
        <v>0.15</v>
      </c>
      <c r="O33" s="2" t="s">
        <v>31</v>
      </c>
      <c r="P33" s="2" t="s">
        <v>19</v>
      </c>
      <c r="Q33" s="2" t="s">
        <v>45</v>
      </c>
      <c r="R33" s="6">
        <f>(1-M33)*الجدول1_1[[#This Row],[Sales_Amount]]</f>
        <v>1131.5625</v>
      </c>
      <c r="S33"/>
    </row>
    <row r="34" spans="1:19" x14ac:dyDescent="0.3">
      <c r="A34">
        <v>1051</v>
      </c>
      <c r="B34" s="1">
        <v>44930</v>
      </c>
      <c r="C34" s="2" t="s">
        <v>38</v>
      </c>
      <c r="D34" s="2" t="s">
        <v>15</v>
      </c>
      <c r="E34">
        <v>794.61400000000003</v>
      </c>
      <c r="F34">
        <v>497.93599999999998</v>
      </c>
      <c r="G34">
        <v>4979.3599999999997</v>
      </c>
      <c r="H34">
        <v>14</v>
      </c>
      <c r="I34" s="2" t="s">
        <v>35</v>
      </c>
      <c r="J34">
        <v>3686.81</v>
      </c>
      <c r="K34">
        <v>3710.92</v>
      </c>
      <c r="L34" s="2" t="s">
        <v>30</v>
      </c>
      <c r="M34" s="7">
        <v>0.1</v>
      </c>
      <c r="N34">
        <v>0.1</v>
      </c>
      <c r="O34" s="2" t="s">
        <v>27</v>
      </c>
      <c r="P34" s="2" t="s">
        <v>22</v>
      </c>
      <c r="Q34" s="2" t="s">
        <v>40</v>
      </c>
      <c r="R34" s="6">
        <f>(1-M34)*الجدول1_1[[#This Row],[Sales_Amount]]</f>
        <v>4481.424</v>
      </c>
      <c r="S34"/>
    </row>
    <row r="35" spans="1:19" x14ac:dyDescent="0.3">
      <c r="A35">
        <v>1055</v>
      </c>
      <c r="B35" s="1">
        <v>45261</v>
      </c>
      <c r="C35" s="2" t="s">
        <v>33</v>
      </c>
      <c r="D35" s="2" t="s">
        <v>21</v>
      </c>
      <c r="E35">
        <v>56.148899999999998</v>
      </c>
      <c r="F35">
        <v>533.3211</v>
      </c>
      <c r="G35">
        <v>4102.47</v>
      </c>
      <c r="H35">
        <v>8</v>
      </c>
      <c r="I35" s="2" t="s">
        <v>16</v>
      </c>
      <c r="J35">
        <v>3513</v>
      </c>
      <c r="K35">
        <v>3838.42</v>
      </c>
      <c r="L35" s="2" t="s">
        <v>17</v>
      </c>
      <c r="M35" s="7">
        <v>0.13</v>
      </c>
      <c r="N35">
        <v>0.13</v>
      </c>
      <c r="O35" s="2" t="s">
        <v>27</v>
      </c>
      <c r="P35" s="2" t="s">
        <v>19</v>
      </c>
      <c r="Q35" s="2" t="s">
        <v>37</v>
      </c>
      <c r="R35" s="6">
        <f>(1-M35)*الجدول1_1[[#This Row],[Sales_Amount]]</f>
        <v>3569.1489000000001</v>
      </c>
      <c r="S35"/>
    </row>
    <row r="36" spans="1:19" x14ac:dyDescent="0.3">
      <c r="A36">
        <v>1007</v>
      </c>
      <c r="B36" s="1">
        <v>44988</v>
      </c>
      <c r="C36" s="2" t="s">
        <v>38</v>
      </c>
      <c r="D36" s="2" t="s">
        <v>21</v>
      </c>
      <c r="E36">
        <v>1212.3720000000001</v>
      </c>
      <c r="F36">
        <v>938.90800000000002</v>
      </c>
      <c r="G36">
        <v>4694.54</v>
      </c>
      <c r="H36">
        <v>1</v>
      </c>
      <c r="I36" s="2" t="s">
        <v>26</v>
      </c>
      <c r="J36">
        <v>2543.2600000000002</v>
      </c>
      <c r="K36">
        <v>2637.91</v>
      </c>
      <c r="L36" s="2" t="s">
        <v>17</v>
      </c>
      <c r="M36" s="7">
        <v>0.2</v>
      </c>
      <c r="N36">
        <v>0.2</v>
      </c>
      <c r="O36" s="2" t="s">
        <v>31</v>
      </c>
      <c r="P36" s="2" t="s">
        <v>19</v>
      </c>
      <c r="Q36" s="2" t="s">
        <v>41</v>
      </c>
      <c r="R36" s="6">
        <f>(1-M36)*الجدول1_1[[#This Row],[Sales_Amount]]</f>
        <v>3755.6320000000001</v>
      </c>
      <c r="S36"/>
    </row>
    <row r="37" spans="1:19" x14ac:dyDescent="0.3">
      <c r="A37">
        <v>1073</v>
      </c>
      <c r="B37" s="1">
        <v>45261</v>
      </c>
      <c r="C37" s="2" t="s">
        <v>24</v>
      </c>
      <c r="D37" s="2" t="s">
        <v>21</v>
      </c>
      <c r="E37">
        <v>1782.5886</v>
      </c>
      <c r="F37">
        <v>890.53139999999996</v>
      </c>
      <c r="G37">
        <v>5238.42</v>
      </c>
      <c r="H37">
        <v>40</v>
      </c>
      <c r="I37" s="2" t="s">
        <v>16</v>
      </c>
      <c r="J37">
        <v>2565.3000000000002</v>
      </c>
      <c r="K37">
        <v>3007.47</v>
      </c>
      <c r="L37" s="2" t="s">
        <v>17</v>
      </c>
      <c r="M37" s="7">
        <v>0.17</v>
      </c>
      <c r="N37">
        <v>0.17</v>
      </c>
      <c r="O37" s="2" t="s">
        <v>31</v>
      </c>
      <c r="P37" s="2" t="s">
        <v>22</v>
      </c>
      <c r="Q37" s="2" t="s">
        <v>47</v>
      </c>
      <c r="R37" s="6">
        <f>(1-M37)*الجدول1_1[[#This Row],[Sales_Amount]]</f>
        <v>4347.8886000000002</v>
      </c>
      <c r="S37"/>
    </row>
    <row r="38" spans="1:19" x14ac:dyDescent="0.3">
      <c r="A38">
        <v>1039</v>
      </c>
      <c r="B38" s="1">
        <v>45129</v>
      </c>
      <c r="C38" s="2" t="s">
        <v>42</v>
      </c>
      <c r="D38" s="2" t="s">
        <v>34</v>
      </c>
      <c r="E38">
        <v>2394.0227</v>
      </c>
      <c r="F38">
        <v>1293.4573</v>
      </c>
      <c r="G38">
        <v>6807.67</v>
      </c>
      <c r="H38">
        <v>42</v>
      </c>
      <c r="I38" s="2" t="s">
        <v>29</v>
      </c>
      <c r="J38">
        <v>3120.19</v>
      </c>
      <c r="K38">
        <v>3600.14</v>
      </c>
      <c r="L38" s="2" t="s">
        <v>17</v>
      </c>
      <c r="M38" s="7">
        <v>0.19</v>
      </c>
      <c r="N38">
        <v>0.19</v>
      </c>
      <c r="O38" s="2" t="s">
        <v>31</v>
      </c>
      <c r="P38" s="2" t="s">
        <v>22</v>
      </c>
      <c r="Q38" s="2" t="s">
        <v>52</v>
      </c>
      <c r="R38" s="6">
        <f>(1-M38)*الجدول1_1[[#This Row],[Sales_Amount]]</f>
        <v>5514.2127</v>
      </c>
      <c r="S38"/>
    </row>
    <row r="39" spans="1:19" x14ac:dyDescent="0.3">
      <c r="A39">
        <v>1018</v>
      </c>
      <c r="B39" s="1">
        <v>44952</v>
      </c>
      <c r="C39" s="2" t="s">
        <v>42</v>
      </c>
      <c r="D39" s="2" t="s">
        <v>34</v>
      </c>
      <c r="E39">
        <v>772.63</v>
      </c>
      <c r="F39">
        <v>0</v>
      </c>
      <c r="G39">
        <v>3187.45</v>
      </c>
      <c r="H39">
        <v>11</v>
      </c>
      <c r="I39" s="2" t="s">
        <v>29</v>
      </c>
      <c r="J39">
        <v>2414.8200000000002</v>
      </c>
      <c r="K39">
        <v>2519.0700000000002</v>
      </c>
      <c r="L39" s="2" t="s">
        <v>17</v>
      </c>
      <c r="M39" s="7">
        <v>0</v>
      </c>
      <c r="N39">
        <v>0</v>
      </c>
      <c r="O39" s="2" t="s">
        <v>18</v>
      </c>
      <c r="P39" s="2" t="s">
        <v>19</v>
      </c>
      <c r="Q39" s="2" t="s">
        <v>52</v>
      </c>
      <c r="R39" s="6">
        <f>(1-M39)*الجدول1_1[[#This Row],[Sales_Amount]]</f>
        <v>3187.45</v>
      </c>
      <c r="S39"/>
    </row>
    <row r="40" spans="1:19" x14ac:dyDescent="0.3">
      <c r="A40">
        <v>1004</v>
      </c>
      <c r="B40" s="1">
        <v>45099</v>
      </c>
      <c r="C40" s="2" t="s">
        <v>38</v>
      </c>
      <c r="D40" s="2" t="s">
        <v>25</v>
      </c>
      <c r="E40">
        <v>4957.4944999999998</v>
      </c>
      <c r="F40">
        <v>388.12549999999999</v>
      </c>
      <c r="G40">
        <v>7762.51</v>
      </c>
      <c r="H40">
        <v>39</v>
      </c>
      <c r="I40" s="2" t="s">
        <v>35</v>
      </c>
      <c r="J40">
        <v>2416.89</v>
      </c>
      <c r="K40">
        <v>2778.3999999999901</v>
      </c>
      <c r="L40" s="2" t="s">
        <v>17</v>
      </c>
      <c r="M40" s="7">
        <v>0.05</v>
      </c>
      <c r="N40">
        <v>0.05</v>
      </c>
      <c r="O40" s="2" t="s">
        <v>18</v>
      </c>
      <c r="P40" s="2" t="s">
        <v>19</v>
      </c>
      <c r="Q40" s="2" t="s">
        <v>39</v>
      </c>
      <c r="R40" s="6">
        <f>(1-M40)*الجدول1_1[[#This Row],[Sales_Amount]]</f>
        <v>7374.3845000000001</v>
      </c>
      <c r="S40"/>
    </row>
    <row r="41" spans="1:19" x14ac:dyDescent="0.3">
      <c r="A41">
        <v>1014</v>
      </c>
      <c r="B41" s="1">
        <v>45252</v>
      </c>
      <c r="C41" s="2" t="s">
        <v>24</v>
      </c>
      <c r="D41" s="2" t="s">
        <v>21</v>
      </c>
      <c r="E41">
        <v>4625.3819999999996</v>
      </c>
      <c r="F41">
        <v>1952.508</v>
      </c>
      <c r="G41">
        <v>9762.5400000000009</v>
      </c>
      <c r="H41">
        <v>17</v>
      </c>
      <c r="I41" s="2" t="s">
        <v>26</v>
      </c>
      <c r="J41">
        <v>3184.65</v>
      </c>
      <c r="K41">
        <v>3204.01</v>
      </c>
      <c r="L41" s="2" t="s">
        <v>30</v>
      </c>
      <c r="M41" s="7">
        <v>0.2</v>
      </c>
      <c r="N41">
        <v>0.2</v>
      </c>
      <c r="O41" s="2" t="s">
        <v>27</v>
      </c>
      <c r="P41" s="2" t="s">
        <v>19</v>
      </c>
      <c r="Q41" s="2" t="s">
        <v>47</v>
      </c>
      <c r="R41" s="6">
        <f>(1-M41)*الجدول1_1[[#This Row],[Sales_Amount]]</f>
        <v>7810.0320000000011</v>
      </c>
      <c r="S41"/>
    </row>
    <row r="42" spans="1:19" x14ac:dyDescent="0.3">
      <c r="A42">
        <v>1009</v>
      </c>
      <c r="B42" s="1">
        <v>45044</v>
      </c>
      <c r="C42" s="2" t="s">
        <v>42</v>
      </c>
      <c r="D42" s="2" t="s">
        <v>15</v>
      </c>
      <c r="E42">
        <v>-1003.0975</v>
      </c>
      <c r="F42">
        <v>67.147499999999994</v>
      </c>
      <c r="G42">
        <v>1342.95</v>
      </c>
      <c r="H42">
        <v>33</v>
      </c>
      <c r="I42" s="2" t="s">
        <v>29</v>
      </c>
      <c r="J42">
        <v>2278.9</v>
      </c>
      <c r="K42">
        <v>2626.9</v>
      </c>
      <c r="L42" s="2" t="s">
        <v>30</v>
      </c>
      <c r="M42" s="7">
        <v>0.05</v>
      </c>
      <c r="N42">
        <v>0.05</v>
      </c>
      <c r="O42" s="2" t="s">
        <v>31</v>
      </c>
      <c r="P42" s="2" t="s">
        <v>19</v>
      </c>
      <c r="Q42" s="2" t="s">
        <v>49</v>
      </c>
      <c r="R42" s="6">
        <f>(1-M42)*الجدول1_1[[#This Row],[Sales_Amount]]</f>
        <v>1275.8025</v>
      </c>
      <c r="S42"/>
    </row>
    <row r="43" spans="1:19" x14ac:dyDescent="0.3">
      <c r="A43">
        <v>1090</v>
      </c>
      <c r="B43" s="1">
        <v>45250</v>
      </c>
      <c r="C43" s="2" t="s">
        <v>42</v>
      </c>
      <c r="D43" s="2" t="s">
        <v>21</v>
      </c>
      <c r="E43">
        <v>-2470.1215999999999</v>
      </c>
      <c r="F43">
        <v>58.9116</v>
      </c>
      <c r="G43">
        <v>267.77999999999997</v>
      </c>
      <c r="H43">
        <v>32</v>
      </c>
      <c r="I43" s="2" t="s">
        <v>35</v>
      </c>
      <c r="J43">
        <v>2678.99</v>
      </c>
      <c r="K43">
        <v>3152.2799999999902</v>
      </c>
      <c r="L43" s="2" t="s">
        <v>17</v>
      </c>
      <c r="M43" s="7">
        <v>0.22</v>
      </c>
      <c r="N43">
        <v>0.22</v>
      </c>
      <c r="O43" s="2" t="s">
        <v>18</v>
      </c>
      <c r="P43" s="2" t="s">
        <v>22</v>
      </c>
      <c r="Q43" s="2" t="s">
        <v>51</v>
      </c>
      <c r="R43" s="6">
        <f>(1-M43)*الجدول1_1[[#This Row],[Sales_Amount]]</f>
        <v>208.86839999999998</v>
      </c>
      <c r="S43"/>
    </row>
    <row r="44" spans="1:19" x14ac:dyDescent="0.3">
      <c r="A44">
        <v>1084</v>
      </c>
      <c r="B44" s="1">
        <v>45151</v>
      </c>
      <c r="C44" s="2" t="s">
        <v>42</v>
      </c>
      <c r="D44" s="2" t="s">
        <v>21</v>
      </c>
      <c r="E44">
        <v>-2311.134</v>
      </c>
      <c r="F44">
        <v>103.20399999999999</v>
      </c>
      <c r="G44">
        <v>1290.05</v>
      </c>
      <c r="H44">
        <v>21</v>
      </c>
      <c r="I44" s="2" t="s">
        <v>16</v>
      </c>
      <c r="J44">
        <v>3497.98</v>
      </c>
      <c r="K44">
        <v>3765.31</v>
      </c>
      <c r="L44" s="2" t="s">
        <v>30</v>
      </c>
      <c r="M44" s="7">
        <v>0.08</v>
      </c>
      <c r="N44">
        <v>0.08</v>
      </c>
      <c r="O44" s="2" t="s">
        <v>18</v>
      </c>
      <c r="P44" s="2" t="s">
        <v>19</v>
      </c>
      <c r="Q44" s="2" t="s">
        <v>51</v>
      </c>
      <c r="R44" s="6">
        <f>(1-M44)*الجدول1_1[[#This Row],[Sales_Amount]]</f>
        <v>1186.846</v>
      </c>
      <c r="S44"/>
    </row>
    <row r="45" spans="1:19" x14ac:dyDescent="0.3">
      <c r="A45">
        <v>1071</v>
      </c>
      <c r="B45" s="1">
        <v>45066</v>
      </c>
      <c r="C45" s="2" t="s">
        <v>38</v>
      </c>
      <c r="D45" s="2" t="s">
        <v>21</v>
      </c>
      <c r="E45">
        <v>-7.6955999999999998</v>
      </c>
      <c r="F45">
        <v>180.22559999999999</v>
      </c>
      <c r="G45">
        <v>3003.76</v>
      </c>
      <c r="H45">
        <v>6</v>
      </c>
      <c r="I45" s="2" t="s">
        <v>16</v>
      </c>
      <c r="J45">
        <v>2831.23</v>
      </c>
      <c r="K45">
        <v>3206.98</v>
      </c>
      <c r="L45" s="2" t="s">
        <v>17</v>
      </c>
      <c r="M45" s="7">
        <v>0.06</v>
      </c>
      <c r="N45">
        <v>0.06</v>
      </c>
      <c r="O45" s="2" t="s">
        <v>27</v>
      </c>
      <c r="P45" s="2" t="s">
        <v>22</v>
      </c>
      <c r="Q45" s="2" t="s">
        <v>41</v>
      </c>
      <c r="R45" s="6">
        <f>(1-M45)*الجدول1_1[[#This Row],[Sales_Amount]]</f>
        <v>2823.5344</v>
      </c>
      <c r="S45"/>
    </row>
    <row r="46" spans="1:19" x14ac:dyDescent="0.3">
      <c r="A46">
        <v>1044</v>
      </c>
      <c r="B46" s="1">
        <v>44973</v>
      </c>
      <c r="C46" s="2" t="s">
        <v>24</v>
      </c>
      <c r="D46" s="2" t="s">
        <v>25</v>
      </c>
      <c r="E46">
        <v>2674.7379999999998</v>
      </c>
      <c r="F46">
        <v>1705.902</v>
      </c>
      <c r="G46">
        <v>7754.1</v>
      </c>
      <c r="H46">
        <v>22</v>
      </c>
      <c r="I46" s="2" t="s">
        <v>26</v>
      </c>
      <c r="J46">
        <v>3373.46</v>
      </c>
      <c r="K46">
        <v>3454.76</v>
      </c>
      <c r="L46" s="2" t="s">
        <v>17</v>
      </c>
      <c r="M46" s="7">
        <v>0.22</v>
      </c>
      <c r="N46">
        <v>0.22</v>
      </c>
      <c r="O46" s="2" t="s">
        <v>27</v>
      </c>
      <c r="P46" s="2" t="s">
        <v>22</v>
      </c>
      <c r="Q46" s="2" t="s">
        <v>28</v>
      </c>
      <c r="R46" s="6">
        <f>(1-M46)*الجدول1_1[[#This Row],[Sales_Amount]]</f>
        <v>6048.1980000000003</v>
      </c>
      <c r="S46"/>
    </row>
    <row r="47" spans="1:19" x14ac:dyDescent="0.3">
      <c r="A47">
        <v>1008</v>
      </c>
      <c r="B47" s="1">
        <v>44927</v>
      </c>
      <c r="C47" s="2" t="s">
        <v>38</v>
      </c>
      <c r="D47" s="2" t="s">
        <v>15</v>
      </c>
      <c r="E47">
        <v>331.18950000000001</v>
      </c>
      <c r="F47">
        <v>261.39049999999997</v>
      </c>
      <c r="G47">
        <v>5227.8100000000004</v>
      </c>
      <c r="H47">
        <v>38</v>
      </c>
      <c r="I47" s="2" t="s">
        <v>29</v>
      </c>
      <c r="J47">
        <v>4635.2299999999996</v>
      </c>
      <c r="K47">
        <v>5075.4399999999996</v>
      </c>
      <c r="L47" s="2" t="s">
        <v>17</v>
      </c>
      <c r="M47" s="7">
        <v>0.05</v>
      </c>
      <c r="N47">
        <v>0.05</v>
      </c>
      <c r="O47" s="2" t="s">
        <v>18</v>
      </c>
      <c r="P47" s="2" t="s">
        <v>19</v>
      </c>
      <c r="Q47" s="2" t="s">
        <v>40</v>
      </c>
      <c r="R47" s="6">
        <f>(1-M47)*الجدول1_1[[#This Row],[Sales_Amount]]</f>
        <v>4966.4195</v>
      </c>
      <c r="S47"/>
    </row>
    <row r="48" spans="1:19" x14ac:dyDescent="0.3">
      <c r="A48">
        <v>1035</v>
      </c>
      <c r="B48" s="1">
        <v>45068</v>
      </c>
      <c r="C48" s="2" t="s">
        <v>42</v>
      </c>
      <c r="D48" s="2" t="s">
        <v>25</v>
      </c>
      <c r="E48">
        <v>-919.60299999999995</v>
      </c>
      <c r="F48">
        <v>567.03300000000002</v>
      </c>
      <c r="G48">
        <v>3780.22</v>
      </c>
      <c r="H48">
        <v>45</v>
      </c>
      <c r="I48" s="2" t="s">
        <v>26</v>
      </c>
      <c r="J48">
        <v>4132.79</v>
      </c>
      <c r="K48">
        <v>4624.1000000000004</v>
      </c>
      <c r="L48" s="2" t="s">
        <v>30</v>
      </c>
      <c r="M48" s="7">
        <v>0.15</v>
      </c>
      <c r="N48">
        <v>0.15</v>
      </c>
      <c r="O48" s="2" t="s">
        <v>31</v>
      </c>
      <c r="P48" s="2" t="s">
        <v>22</v>
      </c>
      <c r="Q48" s="2" t="s">
        <v>43</v>
      </c>
      <c r="R48" s="6">
        <f>(1-M48)*الجدول1_1[[#This Row],[Sales_Amount]]</f>
        <v>3213.1869999999999</v>
      </c>
      <c r="S48"/>
    </row>
    <row r="49" spans="1:19" x14ac:dyDescent="0.3">
      <c r="A49">
        <v>1078</v>
      </c>
      <c r="B49" s="1">
        <v>45246</v>
      </c>
      <c r="C49" s="2" t="s">
        <v>24</v>
      </c>
      <c r="D49" s="2" t="s">
        <v>34</v>
      </c>
      <c r="E49">
        <v>-3349.6120000000001</v>
      </c>
      <c r="F49">
        <v>3.4020000000000001</v>
      </c>
      <c r="G49">
        <v>113.4</v>
      </c>
      <c r="H49">
        <v>8</v>
      </c>
      <c r="I49" s="2" t="s">
        <v>16</v>
      </c>
      <c r="J49">
        <v>3459.61</v>
      </c>
      <c r="K49">
        <v>3657.23</v>
      </c>
      <c r="L49" s="2" t="s">
        <v>17</v>
      </c>
      <c r="M49" s="7">
        <v>0.03</v>
      </c>
      <c r="N49">
        <v>0.03</v>
      </c>
      <c r="O49" s="2" t="s">
        <v>27</v>
      </c>
      <c r="P49" s="2" t="s">
        <v>19</v>
      </c>
      <c r="Q49" s="2" t="s">
        <v>50</v>
      </c>
      <c r="R49" s="6">
        <f>(1-M49)*الجدول1_1[[#This Row],[Sales_Amount]]</f>
        <v>109.998</v>
      </c>
      <c r="S49"/>
    </row>
    <row r="50" spans="1:19" x14ac:dyDescent="0.3">
      <c r="A50">
        <v>1081</v>
      </c>
      <c r="B50" s="1">
        <v>44964</v>
      </c>
      <c r="C50" s="2" t="s">
        <v>24</v>
      </c>
      <c r="D50" s="2" t="s">
        <v>34</v>
      </c>
      <c r="E50">
        <v>-358.33629999999999</v>
      </c>
      <c r="F50">
        <v>644.28629999999998</v>
      </c>
      <c r="G50">
        <v>3068.03</v>
      </c>
      <c r="H50">
        <v>41</v>
      </c>
      <c r="I50" s="2" t="s">
        <v>16</v>
      </c>
      <c r="J50">
        <v>2782.08</v>
      </c>
      <c r="K50">
        <v>2879.24</v>
      </c>
      <c r="L50" s="2" t="s">
        <v>30</v>
      </c>
      <c r="M50" s="7">
        <v>0.21</v>
      </c>
      <c r="N50">
        <v>0.21</v>
      </c>
      <c r="O50" s="2" t="s">
        <v>27</v>
      </c>
      <c r="P50" s="2" t="s">
        <v>19</v>
      </c>
      <c r="Q50" s="2" t="s">
        <v>50</v>
      </c>
      <c r="R50" s="6">
        <f>(1-M50)*الجدول1_1[[#This Row],[Sales_Amount]]</f>
        <v>2423.7437000000004</v>
      </c>
      <c r="S50"/>
    </row>
    <row r="51" spans="1:19" x14ac:dyDescent="0.3">
      <c r="A51">
        <v>1036</v>
      </c>
      <c r="B51" s="1">
        <v>45219</v>
      </c>
      <c r="C51" s="2" t="s">
        <v>24</v>
      </c>
      <c r="D51" s="2" t="s">
        <v>15</v>
      </c>
      <c r="E51">
        <v>4212.8495999999996</v>
      </c>
      <c r="F51">
        <v>1039.9903999999999</v>
      </c>
      <c r="G51">
        <v>6499.94</v>
      </c>
      <c r="H51">
        <v>49</v>
      </c>
      <c r="I51" s="2" t="s">
        <v>29</v>
      </c>
      <c r="J51">
        <v>1247.0999999999999</v>
      </c>
      <c r="K51">
        <v>1429.4399999999901</v>
      </c>
      <c r="L51" s="2" t="s">
        <v>30</v>
      </c>
      <c r="M51" s="7">
        <v>0.16</v>
      </c>
      <c r="N51">
        <v>0.16</v>
      </c>
      <c r="O51" s="2" t="s">
        <v>18</v>
      </c>
      <c r="P51" s="2" t="s">
        <v>19</v>
      </c>
      <c r="Q51" s="2" t="s">
        <v>45</v>
      </c>
      <c r="R51" s="6">
        <f>(1-M51)*الجدول1_1[[#This Row],[Sales_Amount]]</f>
        <v>5459.949599999999</v>
      </c>
      <c r="S51"/>
    </row>
    <row r="52" spans="1:19" x14ac:dyDescent="0.3">
      <c r="A52">
        <v>1050</v>
      </c>
      <c r="B52" s="1">
        <v>45065</v>
      </c>
      <c r="C52" s="2" t="s">
        <v>33</v>
      </c>
      <c r="D52" s="2" t="s">
        <v>34</v>
      </c>
      <c r="E52">
        <v>6708.8231999999998</v>
      </c>
      <c r="F52">
        <v>877.0068</v>
      </c>
      <c r="G52">
        <v>9744.52</v>
      </c>
      <c r="H52">
        <v>35</v>
      </c>
      <c r="I52" s="2" t="s">
        <v>29</v>
      </c>
      <c r="J52">
        <v>2158.69</v>
      </c>
      <c r="K52">
        <v>2384.38</v>
      </c>
      <c r="L52" s="2" t="s">
        <v>17</v>
      </c>
      <c r="M52" s="7">
        <v>0.09</v>
      </c>
      <c r="N52">
        <v>0.09</v>
      </c>
      <c r="O52" s="2" t="s">
        <v>27</v>
      </c>
      <c r="P52" s="2" t="s">
        <v>22</v>
      </c>
      <c r="Q52" s="2" t="s">
        <v>36</v>
      </c>
      <c r="R52" s="6">
        <f>(1-M52)*الجدول1_1[[#This Row],[Sales_Amount]]</f>
        <v>8867.5132000000012</v>
      </c>
      <c r="S52"/>
    </row>
    <row r="53" spans="1:19" x14ac:dyDescent="0.3">
      <c r="A53">
        <v>1006</v>
      </c>
      <c r="B53" s="1">
        <v>45185</v>
      </c>
      <c r="C53" s="2" t="s">
        <v>14</v>
      </c>
      <c r="D53" s="2" t="s">
        <v>15</v>
      </c>
      <c r="E53">
        <v>5432.33</v>
      </c>
      <c r="F53">
        <v>719.66</v>
      </c>
      <c r="G53">
        <v>8995.75</v>
      </c>
      <c r="H53">
        <v>49</v>
      </c>
      <c r="I53" s="2" t="s">
        <v>26</v>
      </c>
      <c r="J53">
        <v>2843.76</v>
      </c>
      <c r="K53">
        <v>3146.6</v>
      </c>
      <c r="L53" s="2" t="s">
        <v>30</v>
      </c>
      <c r="M53" s="7">
        <v>0.08</v>
      </c>
      <c r="N53">
        <v>0.08</v>
      </c>
      <c r="O53" s="2" t="s">
        <v>18</v>
      </c>
      <c r="P53" s="2" t="s">
        <v>22</v>
      </c>
      <c r="Q53" s="2" t="s">
        <v>20</v>
      </c>
      <c r="R53" s="6">
        <f>(1-M53)*الجدول1_1[[#This Row],[Sales_Amount]]</f>
        <v>8276.09</v>
      </c>
      <c r="S53"/>
    </row>
    <row r="54" spans="1:19" x14ac:dyDescent="0.3">
      <c r="A54">
        <v>1054</v>
      </c>
      <c r="B54" s="1">
        <v>45087</v>
      </c>
      <c r="C54" s="2" t="s">
        <v>14</v>
      </c>
      <c r="D54" s="2" t="s">
        <v>25</v>
      </c>
      <c r="E54">
        <v>2792.837</v>
      </c>
      <c r="F54">
        <v>392.68299999999999</v>
      </c>
      <c r="G54">
        <v>7853.66</v>
      </c>
      <c r="H54">
        <v>21</v>
      </c>
      <c r="I54" s="2" t="s">
        <v>16</v>
      </c>
      <c r="J54">
        <v>4668.1400000000003</v>
      </c>
      <c r="K54">
        <v>5040.22</v>
      </c>
      <c r="L54" s="2" t="s">
        <v>30</v>
      </c>
      <c r="M54" s="7">
        <v>0.05</v>
      </c>
      <c r="N54">
        <v>0.05</v>
      </c>
      <c r="O54" s="2" t="s">
        <v>27</v>
      </c>
      <c r="P54" s="2" t="s">
        <v>19</v>
      </c>
      <c r="Q54" s="2" t="s">
        <v>32</v>
      </c>
      <c r="R54" s="6">
        <f>(1-M54)*الجدول1_1[[#This Row],[Sales_Amount]]</f>
        <v>7460.9769999999999</v>
      </c>
      <c r="S54"/>
    </row>
    <row r="55" spans="1:19" x14ac:dyDescent="0.3">
      <c r="A55">
        <v>1063</v>
      </c>
      <c r="B55" s="1">
        <v>45064</v>
      </c>
      <c r="C55" s="2" t="s">
        <v>14</v>
      </c>
      <c r="D55" s="2" t="s">
        <v>21</v>
      </c>
      <c r="E55">
        <v>-1129.5826999999999</v>
      </c>
      <c r="F55">
        <v>650.7627</v>
      </c>
      <c r="G55">
        <v>3098.87</v>
      </c>
      <c r="H55">
        <v>39</v>
      </c>
      <c r="I55" s="2" t="s">
        <v>26</v>
      </c>
      <c r="J55">
        <v>3577.69</v>
      </c>
      <c r="K55">
        <v>3931.25</v>
      </c>
      <c r="L55" s="2" t="s">
        <v>17</v>
      </c>
      <c r="M55" s="7">
        <v>0.21</v>
      </c>
      <c r="N55">
        <v>0.21</v>
      </c>
      <c r="O55" s="2" t="s">
        <v>18</v>
      </c>
      <c r="P55" s="2" t="s">
        <v>22</v>
      </c>
      <c r="Q55" s="2" t="s">
        <v>23</v>
      </c>
      <c r="R55" s="6">
        <f>(1-M55)*الجدول1_1[[#This Row],[Sales_Amount]]</f>
        <v>2448.1073000000001</v>
      </c>
      <c r="S55"/>
    </row>
    <row r="56" spans="1:19" x14ac:dyDescent="0.3">
      <c r="A56">
        <v>1034</v>
      </c>
      <c r="B56" s="1">
        <v>45056</v>
      </c>
      <c r="C56" s="2" t="s">
        <v>38</v>
      </c>
      <c r="D56" s="2" t="s">
        <v>34</v>
      </c>
      <c r="E56">
        <v>2138.4488000000001</v>
      </c>
      <c r="F56">
        <v>831.70119999999997</v>
      </c>
      <c r="G56">
        <v>4892.3599999999997</v>
      </c>
      <c r="H56">
        <v>19</v>
      </c>
      <c r="I56" s="2" t="s">
        <v>29</v>
      </c>
      <c r="J56">
        <v>1922.21</v>
      </c>
      <c r="K56">
        <v>2180.83</v>
      </c>
      <c r="L56" s="2" t="s">
        <v>17</v>
      </c>
      <c r="M56" s="7">
        <v>0.17</v>
      </c>
      <c r="N56">
        <v>0.17</v>
      </c>
      <c r="O56" s="2" t="s">
        <v>31</v>
      </c>
      <c r="P56" s="2" t="s">
        <v>22</v>
      </c>
      <c r="Q56" s="2" t="s">
        <v>48</v>
      </c>
      <c r="R56" s="6">
        <f>(1-M56)*الجدول1_1[[#This Row],[Sales_Amount]]</f>
        <v>4060.6587999999997</v>
      </c>
      <c r="S56"/>
    </row>
    <row r="57" spans="1:19" x14ac:dyDescent="0.3">
      <c r="A57">
        <v>1074</v>
      </c>
      <c r="B57" s="1">
        <v>45010</v>
      </c>
      <c r="C57" s="2" t="s">
        <v>38</v>
      </c>
      <c r="D57" s="2" t="s">
        <v>21</v>
      </c>
      <c r="E57">
        <v>3464.1570000000002</v>
      </c>
      <c r="F57">
        <v>1424.943</v>
      </c>
      <c r="G57">
        <v>7499.7</v>
      </c>
      <c r="H57">
        <v>38</v>
      </c>
      <c r="I57" s="2" t="s">
        <v>26</v>
      </c>
      <c r="J57">
        <v>2610.6</v>
      </c>
      <c r="K57">
        <v>2836.94</v>
      </c>
      <c r="L57" s="2" t="s">
        <v>17</v>
      </c>
      <c r="M57" s="7">
        <v>0.19</v>
      </c>
      <c r="N57">
        <v>0.19</v>
      </c>
      <c r="O57" s="2" t="s">
        <v>31</v>
      </c>
      <c r="P57" s="2" t="s">
        <v>19</v>
      </c>
      <c r="Q57" s="2" t="s">
        <v>41</v>
      </c>
      <c r="R57" s="6">
        <f>(1-M57)*الجدول1_1[[#This Row],[Sales_Amount]]</f>
        <v>6074.7570000000005</v>
      </c>
      <c r="S57"/>
    </row>
    <row r="58" spans="1:19" x14ac:dyDescent="0.3">
      <c r="A58">
        <v>1095</v>
      </c>
      <c r="B58" s="1">
        <v>45255</v>
      </c>
      <c r="C58" s="2" t="s">
        <v>42</v>
      </c>
      <c r="D58" s="2" t="s">
        <v>34</v>
      </c>
      <c r="E58">
        <v>8081.9030000000002</v>
      </c>
      <c r="F58">
        <v>943.29700000000003</v>
      </c>
      <c r="G58">
        <v>9432.9699999999993</v>
      </c>
      <c r="H58">
        <v>37</v>
      </c>
      <c r="I58" s="2" t="s">
        <v>35</v>
      </c>
      <c r="J58">
        <v>407.77</v>
      </c>
      <c r="K58">
        <v>860.95</v>
      </c>
      <c r="L58" s="2" t="s">
        <v>30</v>
      </c>
      <c r="M58" s="7">
        <v>0.1</v>
      </c>
      <c r="N58">
        <v>0.1</v>
      </c>
      <c r="O58" s="2" t="s">
        <v>31</v>
      </c>
      <c r="P58" s="2" t="s">
        <v>22</v>
      </c>
      <c r="Q58" s="2" t="s">
        <v>52</v>
      </c>
      <c r="R58" s="6">
        <f>(1-M58)*الجدول1_1[[#This Row],[Sales_Amount]]</f>
        <v>8489.6729999999989</v>
      </c>
      <c r="S58"/>
    </row>
    <row r="59" spans="1:19" x14ac:dyDescent="0.3">
      <c r="A59">
        <v>1048</v>
      </c>
      <c r="B59" s="1">
        <v>45199</v>
      </c>
      <c r="C59" s="2" t="s">
        <v>33</v>
      </c>
      <c r="D59" s="2" t="s">
        <v>15</v>
      </c>
      <c r="E59">
        <v>3241.0963999999999</v>
      </c>
      <c r="F59">
        <v>1732.1436000000001</v>
      </c>
      <c r="G59">
        <v>7873.38</v>
      </c>
      <c r="H59">
        <v>4</v>
      </c>
      <c r="I59" s="2" t="s">
        <v>16</v>
      </c>
      <c r="J59">
        <v>2900.14</v>
      </c>
      <c r="K59">
        <v>2910.5099999999902</v>
      </c>
      <c r="L59" s="2" t="s">
        <v>30</v>
      </c>
      <c r="M59" s="7">
        <v>0.22</v>
      </c>
      <c r="N59">
        <v>0.22</v>
      </c>
      <c r="O59" s="2" t="s">
        <v>31</v>
      </c>
      <c r="P59" s="2" t="s">
        <v>22</v>
      </c>
      <c r="Q59" s="2" t="s">
        <v>53</v>
      </c>
      <c r="R59" s="6">
        <f>(1-M59)*الجدول1_1[[#This Row],[Sales_Amount]]</f>
        <v>6141.2364000000007</v>
      </c>
      <c r="S59"/>
    </row>
    <row r="60" spans="1:19" x14ac:dyDescent="0.3">
      <c r="A60">
        <v>1040</v>
      </c>
      <c r="B60" s="1">
        <v>44995</v>
      </c>
      <c r="C60" s="2" t="s">
        <v>33</v>
      </c>
      <c r="D60" s="2" t="s">
        <v>34</v>
      </c>
      <c r="E60">
        <v>-978.41480000000001</v>
      </c>
      <c r="F60">
        <v>559.50480000000005</v>
      </c>
      <c r="G60">
        <v>2331.27</v>
      </c>
      <c r="H60">
        <v>13</v>
      </c>
      <c r="I60" s="2" t="s">
        <v>29</v>
      </c>
      <c r="J60">
        <v>2750.18</v>
      </c>
      <c r="K60">
        <v>2882.85</v>
      </c>
      <c r="L60" s="2" t="s">
        <v>17</v>
      </c>
      <c r="M60" s="7">
        <v>0.24</v>
      </c>
      <c r="N60">
        <v>0.24</v>
      </c>
      <c r="O60" s="2" t="s">
        <v>31</v>
      </c>
      <c r="P60" s="2" t="s">
        <v>19</v>
      </c>
      <c r="Q60" s="2" t="s">
        <v>36</v>
      </c>
      <c r="R60" s="6">
        <f>(1-M60)*الجدول1_1[[#This Row],[Sales_Amount]]</f>
        <v>1771.7652</v>
      </c>
      <c r="S60"/>
    </row>
    <row r="61" spans="1:19" x14ac:dyDescent="0.3">
      <c r="A61">
        <v>1085</v>
      </c>
      <c r="B61" s="1">
        <v>45244</v>
      </c>
      <c r="C61" s="2" t="s">
        <v>33</v>
      </c>
      <c r="D61" s="2" t="s">
        <v>25</v>
      </c>
      <c r="E61">
        <v>882.27</v>
      </c>
      <c r="F61">
        <v>81.55</v>
      </c>
      <c r="G61">
        <v>2038.75</v>
      </c>
      <c r="H61">
        <v>32</v>
      </c>
      <c r="I61" s="2" t="s">
        <v>16</v>
      </c>
      <c r="J61">
        <v>1074.93</v>
      </c>
      <c r="K61">
        <v>1492.48</v>
      </c>
      <c r="L61" s="2" t="s">
        <v>17</v>
      </c>
      <c r="M61" s="7">
        <v>0.04</v>
      </c>
      <c r="N61">
        <v>0.04</v>
      </c>
      <c r="O61" s="2" t="s">
        <v>31</v>
      </c>
      <c r="P61" s="2" t="s">
        <v>22</v>
      </c>
      <c r="Q61" s="2" t="s">
        <v>44</v>
      </c>
      <c r="R61" s="6">
        <f>(1-M61)*الجدول1_1[[#This Row],[Sales_Amount]]</f>
        <v>1957.1999999999998</v>
      </c>
      <c r="S61"/>
    </row>
    <row r="62" spans="1:19" x14ac:dyDescent="0.3">
      <c r="A62">
        <v>1082</v>
      </c>
      <c r="B62" s="1">
        <v>45260</v>
      </c>
      <c r="C62" s="2" t="s">
        <v>42</v>
      </c>
      <c r="D62" s="2" t="s">
        <v>25</v>
      </c>
      <c r="E62">
        <v>3750.4810000000002</v>
      </c>
      <c r="F62">
        <v>1314.999</v>
      </c>
      <c r="G62">
        <v>6261.9</v>
      </c>
      <c r="H62">
        <v>41</v>
      </c>
      <c r="I62" s="2" t="s">
        <v>35</v>
      </c>
      <c r="J62">
        <v>1196.42</v>
      </c>
      <c r="K62">
        <v>1444.97</v>
      </c>
      <c r="L62" s="2" t="s">
        <v>17</v>
      </c>
      <c r="M62" s="7">
        <v>0.21</v>
      </c>
      <c r="N62">
        <v>0.21</v>
      </c>
      <c r="O62" s="2" t="s">
        <v>27</v>
      </c>
      <c r="P62" s="2" t="s">
        <v>19</v>
      </c>
      <c r="Q62" s="2" t="s">
        <v>43</v>
      </c>
      <c r="R62" s="6">
        <f>(1-M62)*الجدول1_1[[#This Row],[Sales_Amount]]</f>
        <v>4946.9009999999998</v>
      </c>
      <c r="S62"/>
    </row>
    <row r="63" spans="1:19" x14ac:dyDescent="0.3">
      <c r="A63">
        <v>1026</v>
      </c>
      <c r="B63" s="1">
        <v>44961</v>
      </c>
      <c r="C63" s="2" t="s">
        <v>42</v>
      </c>
      <c r="D63" s="2" t="s">
        <v>21</v>
      </c>
      <c r="E63">
        <v>211.70349999999999</v>
      </c>
      <c r="F63">
        <v>77.746499999999997</v>
      </c>
      <c r="G63">
        <v>1554.93</v>
      </c>
      <c r="H63">
        <v>19</v>
      </c>
      <c r="I63" s="2" t="s">
        <v>35</v>
      </c>
      <c r="J63">
        <v>1265.48</v>
      </c>
      <c r="K63">
        <v>1715.83</v>
      </c>
      <c r="L63" s="2" t="s">
        <v>30</v>
      </c>
      <c r="M63" s="7">
        <v>0.05</v>
      </c>
      <c r="N63">
        <v>0.05</v>
      </c>
      <c r="O63" s="2" t="s">
        <v>31</v>
      </c>
      <c r="P63" s="2" t="s">
        <v>22</v>
      </c>
      <c r="Q63" s="2" t="s">
        <v>51</v>
      </c>
      <c r="R63" s="6">
        <f>(1-M63)*الجدول1_1[[#This Row],[Sales_Amount]]</f>
        <v>1477.1835000000001</v>
      </c>
      <c r="S63"/>
    </row>
    <row r="64" spans="1:19" x14ac:dyDescent="0.3">
      <c r="A64">
        <v>1041</v>
      </c>
      <c r="B64" s="1">
        <v>45246</v>
      </c>
      <c r="C64" s="2" t="s">
        <v>24</v>
      </c>
      <c r="D64" s="2" t="s">
        <v>25</v>
      </c>
      <c r="E64">
        <v>2631.2687999999998</v>
      </c>
      <c r="F64">
        <v>709.71119999999996</v>
      </c>
      <c r="G64">
        <v>3942.84</v>
      </c>
      <c r="H64">
        <v>40</v>
      </c>
      <c r="I64" s="2" t="s">
        <v>26</v>
      </c>
      <c r="J64">
        <v>601.86</v>
      </c>
      <c r="K64">
        <v>1067.53</v>
      </c>
      <c r="L64" s="2" t="s">
        <v>30</v>
      </c>
      <c r="M64" s="7">
        <v>0.18</v>
      </c>
      <c r="N64">
        <v>0.18</v>
      </c>
      <c r="O64" s="2" t="s">
        <v>18</v>
      </c>
      <c r="P64" s="2" t="s">
        <v>19</v>
      </c>
      <c r="Q64" s="2" t="s">
        <v>28</v>
      </c>
      <c r="R64" s="6">
        <f>(1-M64)*الجدول1_1[[#This Row],[Sales_Amount]]</f>
        <v>3233.1288000000004</v>
      </c>
      <c r="S64"/>
    </row>
    <row r="65" spans="1:19" x14ac:dyDescent="0.3">
      <c r="A65">
        <v>1029</v>
      </c>
      <c r="B65" s="1">
        <v>44986</v>
      </c>
      <c r="C65" s="2" t="s">
        <v>24</v>
      </c>
      <c r="D65" s="2" t="s">
        <v>34</v>
      </c>
      <c r="E65">
        <v>2884.2764999999999</v>
      </c>
      <c r="F65">
        <v>1016.0835</v>
      </c>
      <c r="G65">
        <v>6773.89</v>
      </c>
      <c r="H65">
        <v>28</v>
      </c>
      <c r="I65" s="2" t="s">
        <v>29</v>
      </c>
      <c r="J65">
        <v>2873.53</v>
      </c>
      <c r="K65">
        <v>3108.3</v>
      </c>
      <c r="L65" s="2" t="s">
        <v>30</v>
      </c>
      <c r="M65" s="7">
        <v>0.15</v>
      </c>
      <c r="N65">
        <v>0.15</v>
      </c>
      <c r="O65" s="2" t="s">
        <v>31</v>
      </c>
      <c r="P65" s="2" t="s">
        <v>22</v>
      </c>
      <c r="Q65" s="2" t="s">
        <v>50</v>
      </c>
      <c r="R65" s="6">
        <f>(1-M65)*الجدول1_1[[#This Row],[Sales_Amount]]</f>
        <v>5757.8064999999997</v>
      </c>
      <c r="S65"/>
    </row>
    <row r="66" spans="1:19" x14ac:dyDescent="0.3">
      <c r="A66">
        <v>1045</v>
      </c>
      <c r="B66" s="1">
        <v>45275</v>
      </c>
      <c r="C66" s="2" t="s">
        <v>24</v>
      </c>
      <c r="D66" s="2" t="s">
        <v>25</v>
      </c>
      <c r="E66">
        <v>-422.08</v>
      </c>
      <c r="F66">
        <v>351.74</v>
      </c>
      <c r="G66">
        <v>3517.4</v>
      </c>
      <c r="H66">
        <v>42</v>
      </c>
      <c r="I66" s="2" t="s">
        <v>29</v>
      </c>
      <c r="J66">
        <v>3587.74</v>
      </c>
      <c r="K66">
        <v>3745.91</v>
      </c>
      <c r="L66" s="2" t="s">
        <v>17</v>
      </c>
      <c r="M66" s="7">
        <v>0.1</v>
      </c>
      <c r="N66">
        <v>0.1</v>
      </c>
      <c r="O66" s="2" t="s">
        <v>18</v>
      </c>
      <c r="P66" s="2" t="s">
        <v>19</v>
      </c>
      <c r="Q66" s="2" t="s">
        <v>28</v>
      </c>
      <c r="R66" s="6">
        <f>(1-M66)*الجدول1_1[[#This Row],[Sales_Amount]]</f>
        <v>3165.6600000000003</v>
      </c>
      <c r="S66"/>
    </row>
    <row r="67" spans="1:19" x14ac:dyDescent="0.3">
      <c r="A67">
        <v>1065</v>
      </c>
      <c r="B67" s="1">
        <v>45254</v>
      </c>
      <c r="C67" s="2" t="s">
        <v>14</v>
      </c>
      <c r="D67" s="2" t="s">
        <v>34</v>
      </c>
      <c r="E67">
        <v>7760.3577999999998</v>
      </c>
      <c r="F67">
        <v>183.66220000000001</v>
      </c>
      <c r="G67">
        <v>9183.11</v>
      </c>
      <c r="H67">
        <v>18</v>
      </c>
      <c r="I67" s="2" t="s">
        <v>26</v>
      </c>
      <c r="J67">
        <v>1239.0899999999999</v>
      </c>
      <c r="K67">
        <v>1273.98</v>
      </c>
      <c r="L67" s="2" t="s">
        <v>30</v>
      </c>
      <c r="M67" s="7">
        <v>0.02</v>
      </c>
      <c r="N67">
        <v>0.02</v>
      </c>
      <c r="O67" s="2" t="s">
        <v>27</v>
      </c>
      <c r="P67" s="2" t="s">
        <v>22</v>
      </c>
      <c r="Q67" s="2" t="s">
        <v>46</v>
      </c>
      <c r="R67" s="6">
        <f>(1-M67)*الجدول1_1[[#This Row],[Sales_Amount]]</f>
        <v>8999.4477999999999</v>
      </c>
      <c r="S67"/>
    </row>
    <row r="68" spans="1:19" x14ac:dyDescent="0.3">
      <c r="A68">
        <v>1001</v>
      </c>
      <c r="B68" s="1">
        <v>45242</v>
      </c>
      <c r="C68" s="2" t="s">
        <v>42</v>
      </c>
      <c r="D68" s="2" t="s">
        <v>15</v>
      </c>
      <c r="E68">
        <v>-3006.5228999999999</v>
      </c>
      <c r="F68">
        <v>64.422899999999998</v>
      </c>
      <c r="G68">
        <v>715.81</v>
      </c>
      <c r="H68">
        <v>8</v>
      </c>
      <c r="I68" s="2" t="s">
        <v>35</v>
      </c>
      <c r="J68">
        <v>3657.91</v>
      </c>
      <c r="K68">
        <v>3729.27</v>
      </c>
      <c r="L68" s="2" t="s">
        <v>30</v>
      </c>
      <c r="M68" s="7">
        <v>0.09</v>
      </c>
      <c r="N68">
        <v>0.09</v>
      </c>
      <c r="O68" s="2" t="s">
        <v>27</v>
      </c>
      <c r="P68" s="2" t="s">
        <v>22</v>
      </c>
      <c r="Q68" s="2" t="s">
        <v>49</v>
      </c>
      <c r="R68" s="6">
        <f>(1-M68)*الجدول1_1[[#This Row],[Sales_Amount]]</f>
        <v>651.38709999999992</v>
      </c>
      <c r="S68"/>
    </row>
    <row r="69" spans="1:19" x14ac:dyDescent="0.3">
      <c r="A69">
        <v>1011</v>
      </c>
      <c r="B69" s="1">
        <v>45091</v>
      </c>
      <c r="C69" s="2" t="s">
        <v>42</v>
      </c>
      <c r="D69" s="2" t="s">
        <v>25</v>
      </c>
      <c r="E69">
        <v>-196.6182</v>
      </c>
      <c r="F69">
        <v>271.91820000000001</v>
      </c>
      <c r="G69">
        <v>4531.97</v>
      </c>
      <c r="H69">
        <v>38</v>
      </c>
      <c r="I69" s="2" t="s">
        <v>16</v>
      </c>
      <c r="J69">
        <v>4456.67</v>
      </c>
      <c r="K69">
        <v>4642.46</v>
      </c>
      <c r="L69" s="2" t="s">
        <v>30</v>
      </c>
      <c r="M69" s="7">
        <v>0.06</v>
      </c>
      <c r="N69">
        <v>0.06</v>
      </c>
      <c r="O69" s="2" t="s">
        <v>27</v>
      </c>
      <c r="P69" s="2" t="s">
        <v>19</v>
      </c>
      <c r="Q69" s="2" t="s">
        <v>43</v>
      </c>
      <c r="R69" s="6">
        <f>(1-M69)*الجدول1_1[[#This Row],[Sales_Amount]]</f>
        <v>4260.0518000000002</v>
      </c>
      <c r="S69"/>
    </row>
    <row r="70" spans="1:19" x14ac:dyDescent="0.3">
      <c r="A70">
        <v>1005</v>
      </c>
      <c r="B70" s="1">
        <v>45015</v>
      </c>
      <c r="C70" s="2" t="s">
        <v>42</v>
      </c>
      <c r="D70" s="2" t="s">
        <v>34</v>
      </c>
      <c r="E70">
        <v>6235.2803999999996</v>
      </c>
      <c r="F70">
        <v>273.12959999999998</v>
      </c>
      <c r="G70">
        <v>6828.24</v>
      </c>
      <c r="H70">
        <v>12</v>
      </c>
      <c r="I70" s="2" t="s">
        <v>35</v>
      </c>
      <c r="J70">
        <v>319.83</v>
      </c>
      <c r="K70">
        <v>802.43</v>
      </c>
      <c r="L70" s="2" t="s">
        <v>30</v>
      </c>
      <c r="M70" s="7">
        <v>0.04</v>
      </c>
      <c r="N70">
        <v>0.04</v>
      </c>
      <c r="O70" s="2" t="s">
        <v>31</v>
      </c>
      <c r="P70" s="2" t="s">
        <v>22</v>
      </c>
      <c r="Q70" s="2" t="s">
        <v>52</v>
      </c>
      <c r="R70" s="6">
        <f>(1-M70)*الجدول1_1[[#This Row],[Sales_Amount]]</f>
        <v>6555.1103999999996</v>
      </c>
      <c r="S70"/>
    </row>
    <row r="71" spans="1:19" x14ac:dyDescent="0.3">
      <c r="A71">
        <v>1028</v>
      </c>
      <c r="B71" s="1">
        <v>44968</v>
      </c>
      <c r="C71" s="2" t="s">
        <v>42</v>
      </c>
      <c r="D71" s="2" t="s">
        <v>34</v>
      </c>
      <c r="E71">
        <v>-152.59119999999999</v>
      </c>
      <c r="F71">
        <v>451.13119999999998</v>
      </c>
      <c r="G71">
        <v>2819.57</v>
      </c>
      <c r="H71">
        <v>24</v>
      </c>
      <c r="I71" s="2" t="s">
        <v>29</v>
      </c>
      <c r="J71">
        <v>2521.0300000000002</v>
      </c>
      <c r="K71">
        <v>2766.05</v>
      </c>
      <c r="L71" s="2" t="s">
        <v>17</v>
      </c>
      <c r="M71" s="7">
        <v>0.16</v>
      </c>
      <c r="N71">
        <v>0.16</v>
      </c>
      <c r="O71" s="2" t="s">
        <v>27</v>
      </c>
      <c r="P71" s="2" t="s">
        <v>22</v>
      </c>
      <c r="Q71" s="2" t="s">
        <v>52</v>
      </c>
      <c r="R71" s="6">
        <f>(1-M71)*الجدول1_1[[#This Row],[Sales_Amount]]</f>
        <v>2368.4387999999999</v>
      </c>
      <c r="S71"/>
    </row>
    <row r="72" spans="1:19" x14ac:dyDescent="0.3">
      <c r="A72">
        <v>1012</v>
      </c>
      <c r="B72" s="1">
        <v>45221</v>
      </c>
      <c r="C72" s="2" t="s">
        <v>24</v>
      </c>
      <c r="D72" s="2" t="s">
        <v>15</v>
      </c>
      <c r="E72">
        <v>1001.5051999999999</v>
      </c>
      <c r="F72">
        <v>920.82479999999998</v>
      </c>
      <c r="G72">
        <v>4384.88</v>
      </c>
      <c r="H72">
        <v>34</v>
      </c>
      <c r="I72" s="2" t="s">
        <v>16</v>
      </c>
      <c r="J72">
        <v>2462.5500000000002</v>
      </c>
      <c r="K72">
        <v>2521.77</v>
      </c>
      <c r="L72" s="2" t="s">
        <v>30</v>
      </c>
      <c r="M72" s="7">
        <v>0.21</v>
      </c>
      <c r="N72">
        <v>0.21</v>
      </c>
      <c r="O72" s="2" t="s">
        <v>27</v>
      </c>
      <c r="P72" s="2" t="s">
        <v>22</v>
      </c>
      <c r="Q72" s="2" t="s">
        <v>45</v>
      </c>
      <c r="R72" s="6">
        <f>(1-M72)*الجدول1_1[[#This Row],[Sales_Amount]]</f>
        <v>3464.0552000000002</v>
      </c>
      <c r="S72"/>
    </row>
    <row r="73" spans="1:19" x14ac:dyDescent="0.3">
      <c r="A73">
        <v>1023</v>
      </c>
      <c r="B73" s="1">
        <v>45105</v>
      </c>
      <c r="C73" s="2" t="s">
        <v>38</v>
      </c>
      <c r="D73" s="2" t="s">
        <v>34</v>
      </c>
      <c r="E73">
        <v>-2527.2550000000001</v>
      </c>
      <c r="F73">
        <v>542.73500000000001</v>
      </c>
      <c r="G73">
        <v>2170.94</v>
      </c>
      <c r="H73">
        <v>9</v>
      </c>
      <c r="I73" s="2" t="s">
        <v>29</v>
      </c>
      <c r="J73">
        <v>4155.46</v>
      </c>
      <c r="K73">
        <v>4273.6000000000004</v>
      </c>
      <c r="L73" s="2" t="s">
        <v>17</v>
      </c>
      <c r="M73" s="7">
        <v>0.25</v>
      </c>
      <c r="N73">
        <v>0.25</v>
      </c>
      <c r="O73" s="2" t="s">
        <v>18</v>
      </c>
      <c r="P73" s="2" t="s">
        <v>22</v>
      </c>
      <c r="Q73" s="2" t="s">
        <v>48</v>
      </c>
      <c r="R73" s="6">
        <f>(1-M73)*الجدول1_1[[#This Row],[Sales_Amount]]</f>
        <v>1628.2049999999999</v>
      </c>
      <c r="S73"/>
    </row>
    <row r="74" spans="1:19" x14ac:dyDescent="0.3">
      <c r="A74">
        <v>1037</v>
      </c>
      <c r="B74" s="1">
        <v>44949</v>
      </c>
      <c r="C74" s="2" t="s">
        <v>14</v>
      </c>
      <c r="D74" s="2" t="s">
        <v>15</v>
      </c>
      <c r="E74">
        <v>4472.1094000000003</v>
      </c>
      <c r="F74">
        <v>2551.5906</v>
      </c>
      <c r="G74">
        <v>9813.81</v>
      </c>
      <c r="H74">
        <v>40</v>
      </c>
      <c r="I74" s="2" t="s">
        <v>29</v>
      </c>
      <c r="J74">
        <v>2790.11</v>
      </c>
      <c r="K74">
        <v>3192.37</v>
      </c>
      <c r="L74" s="2" t="s">
        <v>17</v>
      </c>
      <c r="M74" s="7">
        <v>0.26</v>
      </c>
      <c r="N74">
        <v>0.26</v>
      </c>
      <c r="O74" s="2" t="s">
        <v>27</v>
      </c>
      <c r="P74" s="2" t="s">
        <v>19</v>
      </c>
      <c r="Q74" s="2" t="s">
        <v>20</v>
      </c>
      <c r="R74" s="6">
        <f>(1-M74)*الجدول1_1[[#This Row],[Sales_Amount]]</f>
        <v>7262.2194</v>
      </c>
      <c r="S74"/>
    </row>
    <row r="75" spans="1:19" x14ac:dyDescent="0.3">
      <c r="A75">
        <v>1099</v>
      </c>
      <c r="B75" s="1">
        <v>44989</v>
      </c>
      <c r="C75" s="2" t="s">
        <v>24</v>
      </c>
      <c r="D75" s="2" t="s">
        <v>34</v>
      </c>
      <c r="E75">
        <v>6420.91</v>
      </c>
      <c r="F75">
        <v>0</v>
      </c>
      <c r="G75">
        <v>7952.11</v>
      </c>
      <c r="H75">
        <v>10</v>
      </c>
      <c r="I75" s="2" t="s">
        <v>16</v>
      </c>
      <c r="J75">
        <v>1531.2</v>
      </c>
      <c r="K75">
        <v>1955.56</v>
      </c>
      <c r="L75" s="2" t="s">
        <v>30</v>
      </c>
      <c r="M75" s="7">
        <v>0</v>
      </c>
      <c r="N75">
        <v>0</v>
      </c>
      <c r="O75" s="2" t="s">
        <v>31</v>
      </c>
      <c r="P75" s="2" t="s">
        <v>19</v>
      </c>
      <c r="Q75" s="2" t="s">
        <v>50</v>
      </c>
      <c r="R75" s="6">
        <f>(1-M75)*الجدول1_1[[#This Row],[Sales_Amount]]</f>
        <v>7952.11</v>
      </c>
      <c r="S75"/>
    </row>
    <row r="76" spans="1:19" x14ac:dyDescent="0.3">
      <c r="A76">
        <v>1086</v>
      </c>
      <c r="B76" s="1">
        <v>45079</v>
      </c>
      <c r="C76" s="2" t="s">
        <v>14</v>
      </c>
      <c r="D76" s="2" t="s">
        <v>34</v>
      </c>
      <c r="E76">
        <v>226.4161</v>
      </c>
      <c r="F76">
        <v>673.8039</v>
      </c>
      <c r="G76">
        <v>2495.5700000000002</v>
      </c>
      <c r="H76">
        <v>3</v>
      </c>
      <c r="I76" s="2" t="s">
        <v>35</v>
      </c>
      <c r="J76">
        <v>1595.35</v>
      </c>
      <c r="K76">
        <v>1625.70999999999</v>
      </c>
      <c r="L76" s="2" t="s">
        <v>30</v>
      </c>
      <c r="M76" s="7">
        <v>0.27</v>
      </c>
      <c r="N76">
        <v>0.27</v>
      </c>
      <c r="O76" s="2" t="s">
        <v>18</v>
      </c>
      <c r="P76" s="2" t="s">
        <v>19</v>
      </c>
      <c r="Q76" s="2" t="s">
        <v>46</v>
      </c>
      <c r="R76" s="6">
        <f>(1-M76)*الجدول1_1[[#This Row],[Sales_Amount]]</f>
        <v>1821.7661000000001</v>
      </c>
      <c r="S76"/>
    </row>
    <row r="77" spans="1:19" x14ac:dyDescent="0.3">
      <c r="A77">
        <v>1027</v>
      </c>
      <c r="B77" s="1">
        <v>44941</v>
      </c>
      <c r="C77" s="2" t="s">
        <v>14</v>
      </c>
      <c r="D77" s="2" t="s">
        <v>21</v>
      </c>
      <c r="E77">
        <v>5235.5219999999999</v>
      </c>
      <c r="F77">
        <v>876.56799999999998</v>
      </c>
      <c r="G77">
        <v>6261.2</v>
      </c>
      <c r="H77">
        <v>26</v>
      </c>
      <c r="I77" s="2" t="s">
        <v>26</v>
      </c>
      <c r="J77">
        <v>149.11000000000001</v>
      </c>
      <c r="K77">
        <v>477.67</v>
      </c>
      <c r="L77" s="2" t="s">
        <v>17</v>
      </c>
      <c r="M77" s="7">
        <v>0.14000000000000001</v>
      </c>
      <c r="N77">
        <v>0.14000000000000001</v>
      </c>
      <c r="O77" s="2" t="s">
        <v>18</v>
      </c>
      <c r="P77" s="2" t="s">
        <v>22</v>
      </c>
      <c r="Q77" s="2" t="s">
        <v>23</v>
      </c>
      <c r="R77" s="6">
        <f>(1-M77)*الجدول1_1[[#This Row],[Sales_Amount]]</f>
        <v>5384.6319999999996</v>
      </c>
      <c r="S77"/>
    </row>
    <row r="78" spans="1:19" x14ac:dyDescent="0.3">
      <c r="A78">
        <v>1079</v>
      </c>
      <c r="B78" s="1">
        <v>45083</v>
      </c>
      <c r="C78" s="2" t="s">
        <v>24</v>
      </c>
      <c r="D78" s="2" t="s">
        <v>25</v>
      </c>
      <c r="E78">
        <v>-283.20049999999998</v>
      </c>
      <c r="F78">
        <v>297.31049999999999</v>
      </c>
      <c r="G78">
        <v>1982.07</v>
      </c>
      <c r="H78">
        <v>34</v>
      </c>
      <c r="I78" s="2" t="s">
        <v>16</v>
      </c>
      <c r="J78">
        <v>1967.96</v>
      </c>
      <c r="K78">
        <v>1993.4</v>
      </c>
      <c r="L78" s="2" t="s">
        <v>17</v>
      </c>
      <c r="M78" s="7">
        <v>0.15</v>
      </c>
      <c r="N78">
        <v>0.15</v>
      </c>
      <c r="O78" s="2" t="s">
        <v>31</v>
      </c>
      <c r="P78" s="2" t="s">
        <v>19</v>
      </c>
      <c r="Q78" s="2" t="s">
        <v>28</v>
      </c>
      <c r="R78" s="6">
        <f>(1-M78)*الجدول1_1[[#This Row],[Sales_Amount]]</f>
        <v>1684.7594999999999</v>
      </c>
      <c r="S78"/>
    </row>
    <row r="79" spans="1:19" x14ac:dyDescent="0.3">
      <c r="A79">
        <v>1077</v>
      </c>
      <c r="B79" s="1">
        <v>44964</v>
      </c>
      <c r="C79" s="2" t="s">
        <v>38</v>
      </c>
      <c r="D79" s="2" t="s">
        <v>21</v>
      </c>
      <c r="E79">
        <v>4392.3314</v>
      </c>
      <c r="F79">
        <v>2785.5486000000001</v>
      </c>
      <c r="G79">
        <v>9605.34</v>
      </c>
      <c r="H79">
        <v>12</v>
      </c>
      <c r="I79" s="2" t="s">
        <v>29</v>
      </c>
      <c r="J79">
        <v>2427.46</v>
      </c>
      <c r="K79">
        <v>2743.09</v>
      </c>
      <c r="L79" s="2" t="s">
        <v>30</v>
      </c>
      <c r="M79" s="7">
        <v>0.28999999999999998</v>
      </c>
      <c r="N79">
        <v>0.28999999999999998</v>
      </c>
      <c r="O79" s="2" t="s">
        <v>31</v>
      </c>
      <c r="P79" s="2" t="s">
        <v>22</v>
      </c>
      <c r="Q79" s="2" t="s">
        <v>41</v>
      </c>
      <c r="R79" s="6">
        <f>(1-M79)*الجدول1_1[[#This Row],[Sales_Amount]]</f>
        <v>6819.7914000000001</v>
      </c>
      <c r="S79"/>
    </row>
    <row r="80" spans="1:19" x14ac:dyDescent="0.3">
      <c r="A80">
        <v>1096</v>
      </c>
      <c r="B80" s="1">
        <v>45180</v>
      </c>
      <c r="C80" s="2" t="s">
        <v>38</v>
      </c>
      <c r="D80" s="2" t="s">
        <v>25</v>
      </c>
      <c r="E80">
        <v>5089.4575000000004</v>
      </c>
      <c r="F80">
        <v>1899.3425</v>
      </c>
      <c r="G80">
        <v>7597.37</v>
      </c>
      <c r="H80">
        <v>23</v>
      </c>
      <c r="I80" s="2" t="s">
        <v>35</v>
      </c>
      <c r="J80">
        <v>608.57000000000005</v>
      </c>
      <c r="K80">
        <v>1032.22</v>
      </c>
      <c r="L80" s="2" t="s">
        <v>30</v>
      </c>
      <c r="M80" s="7">
        <v>0.25</v>
      </c>
      <c r="N80">
        <v>0.25</v>
      </c>
      <c r="O80" s="2" t="s">
        <v>18</v>
      </c>
      <c r="P80" s="2" t="s">
        <v>22</v>
      </c>
      <c r="Q80" s="2" t="s">
        <v>39</v>
      </c>
      <c r="R80" s="6">
        <f>(1-M80)*الجدول1_1[[#This Row],[Sales_Amount]]</f>
        <v>5698.0275000000001</v>
      </c>
      <c r="S80"/>
    </row>
    <row r="81" spans="1:19" x14ac:dyDescent="0.3">
      <c r="A81">
        <v>1094</v>
      </c>
      <c r="B81" s="1">
        <v>44936</v>
      </c>
      <c r="C81" s="2" t="s">
        <v>38</v>
      </c>
      <c r="D81" s="2" t="s">
        <v>15</v>
      </c>
      <c r="E81">
        <v>182.0061</v>
      </c>
      <c r="F81">
        <v>433.27390000000003</v>
      </c>
      <c r="G81">
        <v>2548.67</v>
      </c>
      <c r="H81">
        <v>25</v>
      </c>
      <c r="I81" s="2" t="s">
        <v>35</v>
      </c>
      <c r="J81">
        <v>1933.39</v>
      </c>
      <c r="K81">
        <v>1982.92</v>
      </c>
      <c r="L81" s="2" t="s">
        <v>30</v>
      </c>
      <c r="M81" s="7">
        <v>0.17</v>
      </c>
      <c r="N81">
        <v>0.17</v>
      </c>
      <c r="O81" s="2" t="s">
        <v>27</v>
      </c>
      <c r="P81" s="2" t="s">
        <v>19</v>
      </c>
      <c r="Q81" s="2" t="s">
        <v>40</v>
      </c>
      <c r="R81" s="6">
        <f>(1-M81)*الجدول1_1[[#This Row],[Sales_Amount]]</f>
        <v>2115.3960999999999</v>
      </c>
      <c r="S81"/>
    </row>
    <row r="82" spans="1:19" x14ac:dyDescent="0.3">
      <c r="A82">
        <v>1043</v>
      </c>
      <c r="B82" s="1">
        <v>45256</v>
      </c>
      <c r="C82" s="2" t="s">
        <v>14</v>
      </c>
      <c r="D82" s="2" t="s">
        <v>25</v>
      </c>
      <c r="E82">
        <v>-726.05250000000001</v>
      </c>
      <c r="F82">
        <v>427.6825</v>
      </c>
      <c r="G82">
        <v>1710.73</v>
      </c>
      <c r="H82">
        <v>3</v>
      </c>
      <c r="I82" s="2" t="s">
        <v>35</v>
      </c>
      <c r="J82">
        <v>2009.1</v>
      </c>
      <c r="K82">
        <v>2186.42</v>
      </c>
      <c r="L82" s="2" t="s">
        <v>30</v>
      </c>
      <c r="M82" s="7">
        <v>0.25</v>
      </c>
      <c r="N82">
        <v>0.25</v>
      </c>
      <c r="O82" s="2" t="s">
        <v>27</v>
      </c>
      <c r="P82" s="2" t="s">
        <v>19</v>
      </c>
      <c r="Q82" s="2" t="s">
        <v>32</v>
      </c>
      <c r="R82" s="6">
        <f>(1-M82)*الجدول1_1[[#This Row],[Sales_Amount]]</f>
        <v>1283.0475000000001</v>
      </c>
      <c r="S82"/>
    </row>
    <row r="83" spans="1:19" x14ac:dyDescent="0.3">
      <c r="A83">
        <v>1013</v>
      </c>
      <c r="B83" s="1">
        <v>45220</v>
      </c>
      <c r="C83" s="2" t="s">
        <v>24</v>
      </c>
      <c r="D83" s="2" t="s">
        <v>34</v>
      </c>
      <c r="E83">
        <v>3001.8029999999999</v>
      </c>
      <c r="F83">
        <v>503.90699999999998</v>
      </c>
      <c r="G83">
        <v>5039.07</v>
      </c>
      <c r="H83">
        <v>20</v>
      </c>
      <c r="I83" s="2" t="s">
        <v>35</v>
      </c>
      <c r="J83">
        <v>1533.36</v>
      </c>
      <c r="K83">
        <v>1649.73999999999</v>
      </c>
      <c r="L83" s="2" t="s">
        <v>17</v>
      </c>
      <c r="M83" s="7">
        <v>0.1</v>
      </c>
      <c r="N83">
        <v>0.1</v>
      </c>
      <c r="O83" s="2" t="s">
        <v>27</v>
      </c>
      <c r="P83" s="2" t="s">
        <v>19</v>
      </c>
      <c r="Q83" s="2" t="s">
        <v>50</v>
      </c>
      <c r="R83" s="6">
        <f>(1-M83)*الجدول1_1[[#This Row],[Sales_Amount]]</f>
        <v>4535.1629999999996</v>
      </c>
      <c r="S83"/>
    </row>
    <row r="84" spans="1:19" x14ac:dyDescent="0.3">
      <c r="A84">
        <v>1032</v>
      </c>
      <c r="B84" s="1">
        <v>45085</v>
      </c>
      <c r="C84" s="2" t="s">
        <v>38</v>
      </c>
      <c r="D84" s="2" t="s">
        <v>21</v>
      </c>
      <c r="E84">
        <v>-4612.3738000000003</v>
      </c>
      <c r="F84">
        <v>19.783799999999999</v>
      </c>
      <c r="G84">
        <v>219.82</v>
      </c>
      <c r="H84">
        <v>49</v>
      </c>
      <c r="I84" s="2" t="s">
        <v>35</v>
      </c>
      <c r="J84">
        <v>4812.41</v>
      </c>
      <c r="K84">
        <v>5088</v>
      </c>
      <c r="L84" s="2" t="s">
        <v>17</v>
      </c>
      <c r="M84" s="7">
        <v>0.09</v>
      </c>
      <c r="N84">
        <v>0.09</v>
      </c>
      <c r="O84" s="2" t="s">
        <v>31</v>
      </c>
      <c r="P84" s="2" t="s">
        <v>19</v>
      </c>
      <c r="Q84" s="2" t="s">
        <v>41</v>
      </c>
      <c r="R84" s="6">
        <f>(1-M84)*الجدول1_1[[#This Row],[Sales_Amount]]</f>
        <v>200.03620000000001</v>
      </c>
      <c r="S84"/>
    </row>
    <row r="85" spans="1:19" x14ac:dyDescent="0.3">
      <c r="A85">
        <v>1066</v>
      </c>
      <c r="B85" s="1">
        <v>45110</v>
      </c>
      <c r="C85" s="2" t="s">
        <v>33</v>
      </c>
      <c r="D85" s="2" t="s">
        <v>15</v>
      </c>
      <c r="E85">
        <v>3545.6819999999998</v>
      </c>
      <c r="F85">
        <v>255.208</v>
      </c>
      <c r="G85">
        <v>6380.2</v>
      </c>
      <c r="H85">
        <v>15</v>
      </c>
      <c r="I85" s="2" t="s">
        <v>16</v>
      </c>
      <c r="J85">
        <v>2579.31</v>
      </c>
      <c r="K85">
        <v>2867.36</v>
      </c>
      <c r="L85" s="2" t="s">
        <v>17</v>
      </c>
      <c r="M85" s="7">
        <v>0.04</v>
      </c>
      <c r="N85">
        <v>0.04</v>
      </c>
      <c r="O85" s="2" t="s">
        <v>27</v>
      </c>
      <c r="P85" s="2" t="s">
        <v>22</v>
      </c>
      <c r="Q85" s="2" t="s">
        <v>53</v>
      </c>
      <c r="R85" s="6">
        <f>(1-M85)*الجدول1_1[[#This Row],[Sales_Amount]]</f>
        <v>6124.9919999999993</v>
      </c>
      <c r="S85"/>
    </row>
    <row r="86" spans="1:19" x14ac:dyDescent="0.3">
      <c r="A86">
        <v>1057</v>
      </c>
      <c r="B86" s="1">
        <v>45187</v>
      </c>
      <c r="C86" s="2" t="s">
        <v>33</v>
      </c>
      <c r="D86" s="2" t="s">
        <v>21</v>
      </c>
      <c r="E86">
        <v>5347.5054</v>
      </c>
      <c r="F86">
        <v>146.31460000000001</v>
      </c>
      <c r="G86">
        <v>7315.73</v>
      </c>
      <c r="H86">
        <v>25</v>
      </c>
      <c r="I86" s="2" t="s">
        <v>26</v>
      </c>
      <c r="J86">
        <v>1821.91</v>
      </c>
      <c r="K86">
        <v>2027.74</v>
      </c>
      <c r="L86" s="2" t="s">
        <v>30</v>
      </c>
      <c r="M86" s="7">
        <v>0.02</v>
      </c>
      <c r="N86">
        <v>0.02</v>
      </c>
      <c r="O86" s="2" t="s">
        <v>27</v>
      </c>
      <c r="P86" s="2" t="s">
        <v>22</v>
      </c>
      <c r="Q86" s="2" t="s">
        <v>37</v>
      </c>
      <c r="R86" s="6">
        <f>(1-M86)*الجدول1_1[[#This Row],[Sales_Amount]]</f>
        <v>7169.4153999999999</v>
      </c>
      <c r="S86"/>
    </row>
    <row r="87" spans="1:19" x14ac:dyDescent="0.3">
      <c r="A87">
        <v>1097</v>
      </c>
      <c r="B87" s="1">
        <v>45225</v>
      </c>
      <c r="C87" s="2" t="s">
        <v>42</v>
      </c>
      <c r="D87" s="2" t="s">
        <v>34</v>
      </c>
      <c r="E87">
        <v>2565.491</v>
      </c>
      <c r="F87">
        <v>381.69900000000001</v>
      </c>
      <c r="G87">
        <v>7633.98</v>
      </c>
      <c r="H87">
        <v>27</v>
      </c>
      <c r="I87" s="2" t="s">
        <v>35</v>
      </c>
      <c r="J87">
        <v>4686.79</v>
      </c>
      <c r="K87">
        <v>5046.51</v>
      </c>
      <c r="L87" s="2" t="s">
        <v>17</v>
      </c>
      <c r="M87" s="7">
        <v>0.05</v>
      </c>
      <c r="N87">
        <v>0.05</v>
      </c>
      <c r="O87" s="2" t="s">
        <v>31</v>
      </c>
      <c r="P87" s="2" t="s">
        <v>22</v>
      </c>
      <c r="Q87" s="2" t="s">
        <v>52</v>
      </c>
      <c r="R87" s="6">
        <f>(1-M87)*الجدول1_1[[#This Row],[Sales_Amount]]</f>
        <v>7252.280999999999</v>
      </c>
      <c r="S87"/>
    </row>
    <row r="88" spans="1:19" x14ac:dyDescent="0.3">
      <c r="A88">
        <v>1070</v>
      </c>
      <c r="B88" s="1">
        <v>45256</v>
      </c>
      <c r="C88" s="2" t="s">
        <v>24</v>
      </c>
      <c r="D88" s="2" t="s">
        <v>15</v>
      </c>
      <c r="E88">
        <v>1037.6321</v>
      </c>
      <c r="F88">
        <v>1685.9178999999999</v>
      </c>
      <c r="G88">
        <v>5813.51</v>
      </c>
      <c r="H88">
        <v>40</v>
      </c>
      <c r="I88" s="2" t="s">
        <v>16</v>
      </c>
      <c r="J88">
        <v>3089.96</v>
      </c>
      <c r="K88">
        <v>3258.45</v>
      </c>
      <c r="L88" s="2" t="s">
        <v>30</v>
      </c>
      <c r="M88" s="7">
        <v>0.28999999999999998</v>
      </c>
      <c r="N88">
        <v>0.28999999999999998</v>
      </c>
      <c r="O88" s="2" t="s">
        <v>18</v>
      </c>
      <c r="P88" s="2" t="s">
        <v>19</v>
      </c>
      <c r="Q88" s="2" t="s">
        <v>45</v>
      </c>
      <c r="R88" s="6">
        <f>(1-M88)*الجدول1_1[[#This Row],[Sales_Amount]]</f>
        <v>4127.5920999999998</v>
      </c>
      <c r="S88"/>
    </row>
    <row r="89" spans="1:19" x14ac:dyDescent="0.3">
      <c r="A89">
        <v>1056</v>
      </c>
      <c r="B89" s="1">
        <v>45053</v>
      </c>
      <c r="C89" s="2" t="s">
        <v>24</v>
      </c>
      <c r="D89" s="2" t="s">
        <v>34</v>
      </c>
      <c r="E89">
        <v>4523.4740000000002</v>
      </c>
      <c r="F89">
        <v>1522.376</v>
      </c>
      <c r="G89">
        <v>7611.88</v>
      </c>
      <c r="H89">
        <v>28</v>
      </c>
      <c r="I89" s="2" t="s">
        <v>29</v>
      </c>
      <c r="J89">
        <v>1566.03</v>
      </c>
      <c r="K89">
        <v>1576.34</v>
      </c>
      <c r="L89" s="2" t="s">
        <v>17</v>
      </c>
      <c r="M89" s="7">
        <v>0.2</v>
      </c>
      <c r="N89">
        <v>0.2</v>
      </c>
      <c r="O89" s="2" t="s">
        <v>27</v>
      </c>
      <c r="P89" s="2" t="s">
        <v>19</v>
      </c>
      <c r="Q89" s="2" t="s">
        <v>50</v>
      </c>
      <c r="R89" s="6">
        <f>(1-M89)*الجدول1_1[[#This Row],[Sales_Amount]]</f>
        <v>6089.5040000000008</v>
      </c>
      <c r="S89"/>
    </row>
    <row r="90" spans="1:19" x14ac:dyDescent="0.3">
      <c r="A90">
        <v>1019</v>
      </c>
      <c r="B90" s="1">
        <v>45228</v>
      </c>
      <c r="C90" s="2" t="s">
        <v>24</v>
      </c>
      <c r="D90" s="2" t="s">
        <v>21</v>
      </c>
      <c r="E90">
        <v>5380.4124000000002</v>
      </c>
      <c r="F90">
        <v>238.08760000000001</v>
      </c>
      <c r="G90">
        <v>5952.19</v>
      </c>
      <c r="H90">
        <v>31</v>
      </c>
      <c r="I90" s="2" t="s">
        <v>26</v>
      </c>
      <c r="J90">
        <v>333.69</v>
      </c>
      <c r="K90">
        <v>685.1</v>
      </c>
      <c r="L90" s="2" t="s">
        <v>30</v>
      </c>
      <c r="M90" s="7">
        <v>0.04</v>
      </c>
      <c r="N90">
        <v>0.04</v>
      </c>
      <c r="O90" s="2" t="s">
        <v>27</v>
      </c>
      <c r="P90" s="2" t="s">
        <v>19</v>
      </c>
      <c r="Q90" s="2" t="s">
        <v>47</v>
      </c>
      <c r="R90" s="6">
        <f>(1-M90)*الجدول1_1[[#This Row],[Sales_Amount]]</f>
        <v>5714.1023999999998</v>
      </c>
      <c r="S90"/>
    </row>
    <row r="91" spans="1:19" x14ac:dyDescent="0.3">
      <c r="A91">
        <v>1068</v>
      </c>
      <c r="B91" s="1">
        <v>44981</v>
      </c>
      <c r="C91" s="2" t="s">
        <v>14</v>
      </c>
      <c r="D91" s="2" t="s">
        <v>15</v>
      </c>
      <c r="E91">
        <v>168.0874</v>
      </c>
      <c r="F91">
        <v>1330.8126</v>
      </c>
      <c r="G91">
        <v>5118.51</v>
      </c>
      <c r="H91">
        <v>22</v>
      </c>
      <c r="I91" s="2" t="s">
        <v>29</v>
      </c>
      <c r="J91">
        <v>3619.61</v>
      </c>
      <c r="K91">
        <v>3651.42</v>
      </c>
      <c r="L91" s="2" t="s">
        <v>17</v>
      </c>
      <c r="M91" s="7">
        <v>0.26</v>
      </c>
      <c r="N91">
        <v>0.26</v>
      </c>
      <c r="O91" s="2" t="s">
        <v>27</v>
      </c>
      <c r="P91" s="2" t="s">
        <v>19</v>
      </c>
      <c r="Q91" s="2" t="s">
        <v>20</v>
      </c>
      <c r="R91" s="6">
        <f>(1-M91)*الجدول1_1[[#This Row],[Sales_Amount]]</f>
        <v>3787.6974</v>
      </c>
      <c r="S91"/>
    </row>
    <row r="92" spans="1:19" x14ac:dyDescent="0.3">
      <c r="A92">
        <v>1017</v>
      </c>
      <c r="B92" s="1">
        <v>45128</v>
      </c>
      <c r="C92" s="2" t="s">
        <v>24</v>
      </c>
      <c r="D92" s="2" t="s">
        <v>34</v>
      </c>
      <c r="E92">
        <v>2233.3798999999999</v>
      </c>
      <c r="F92">
        <v>982.7201</v>
      </c>
      <c r="G92">
        <v>3388.69</v>
      </c>
      <c r="H92">
        <v>1</v>
      </c>
      <c r="I92" s="2" t="s">
        <v>26</v>
      </c>
      <c r="J92">
        <v>172.59</v>
      </c>
      <c r="K92">
        <v>404.69</v>
      </c>
      <c r="L92" s="2" t="s">
        <v>17</v>
      </c>
      <c r="M92" s="7">
        <v>0.28999999999999998</v>
      </c>
      <c r="N92">
        <v>0.28999999999999998</v>
      </c>
      <c r="O92" s="2" t="s">
        <v>27</v>
      </c>
      <c r="P92" s="2" t="s">
        <v>19</v>
      </c>
      <c r="Q92" s="2" t="s">
        <v>50</v>
      </c>
      <c r="R92" s="6">
        <f>(1-M92)*الجدول1_1[[#This Row],[Sales_Amount]]</f>
        <v>2405.9699000000001</v>
      </c>
      <c r="S92"/>
    </row>
    <row r="93" spans="1:19" x14ac:dyDescent="0.3">
      <c r="A93">
        <v>1069</v>
      </c>
      <c r="B93" s="1">
        <v>45080</v>
      </c>
      <c r="C93" s="2" t="s">
        <v>24</v>
      </c>
      <c r="D93" s="2" t="s">
        <v>21</v>
      </c>
      <c r="E93">
        <v>3304.1487999999999</v>
      </c>
      <c r="F93">
        <v>1842.6912</v>
      </c>
      <c r="G93">
        <v>6581.04</v>
      </c>
      <c r="H93">
        <v>42</v>
      </c>
      <c r="I93" s="2" t="s">
        <v>29</v>
      </c>
      <c r="J93">
        <v>1434.2</v>
      </c>
      <c r="K93">
        <v>1482.88</v>
      </c>
      <c r="L93" s="2" t="s">
        <v>30</v>
      </c>
      <c r="M93" s="7">
        <v>0.28000000000000003</v>
      </c>
      <c r="N93">
        <v>0.28000000000000003</v>
      </c>
      <c r="O93" s="2" t="s">
        <v>31</v>
      </c>
      <c r="P93" s="2" t="s">
        <v>22</v>
      </c>
      <c r="Q93" s="2" t="s">
        <v>47</v>
      </c>
      <c r="R93" s="6">
        <f>(1-M93)*الجدول1_1[[#This Row],[Sales_Amount]]</f>
        <v>4738.3487999999998</v>
      </c>
      <c r="S93"/>
    </row>
    <row r="94" spans="1:19" x14ac:dyDescent="0.3">
      <c r="A94">
        <v>1098</v>
      </c>
      <c r="B94" s="1">
        <v>45217</v>
      </c>
      <c r="C94" s="2" t="s">
        <v>38</v>
      </c>
      <c r="D94" s="2" t="s">
        <v>21</v>
      </c>
      <c r="E94">
        <v>587.61779999999999</v>
      </c>
      <c r="F94">
        <v>288.1422</v>
      </c>
      <c r="G94">
        <v>1600.79</v>
      </c>
      <c r="H94">
        <v>21</v>
      </c>
      <c r="I94" s="2" t="s">
        <v>16</v>
      </c>
      <c r="J94">
        <v>725.03</v>
      </c>
      <c r="K94">
        <v>828.94999999999902</v>
      </c>
      <c r="L94" s="2" t="s">
        <v>30</v>
      </c>
      <c r="M94" s="7">
        <v>0.18</v>
      </c>
      <c r="N94">
        <v>0.18</v>
      </c>
      <c r="O94" s="2" t="s">
        <v>27</v>
      </c>
      <c r="P94" s="2" t="s">
        <v>19</v>
      </c>
      <c r="Q94" s="2" t="s">
        <v>41</v>
      </c>
      <c r="R94" s="6">
        <f>(1-M94)*الجدول1_1[[#This Row],[Sales_Amount]]</f>
        <v>1312.6478</v>
      </c>
      <c r="S94"/>
    </row>
    <row r="95" spans="1:19" x14ac:dyDescent="0.3">
      <c r="A95">
        <v>1016</v>
      </c>
      <c r="B95" s="1">
        <v>45016</v>
      </c>
      <c r="C95" s="2" t="s">
        <v>38</v>
      </c>
      <c r="D95" s="2" t="s">
        <v>34</v>
      </c>
      <c r="E95">
        <v>-694.1576</v>
      </c>
      <c r="F95">
        <v>1120.5376000000001</v>
      </c>
      <c r="G95">
        <v>4309.76</v>
      </c>
      <c r="H95">
        <v>38</v>
      </c>
      <c r="I95" s="2" t="s">
        <v>35</v>
      </c>
      <c r="J95">
        <v>3883.38</v>
      </c>
      <c r="K95">
        <v>4152.72</v>
      </c>
      <c r="L95" s="2" t="s">
        <v>17</v>
      </c>
      <c r="M95" s="7">
        <v>0.26</v>
      </c>
      <c r="N95">
        <v>0.26</v>
      </c>
      <c r="O95" s="2" t="s">
        <v>18</v>
      </c>
      <c r="P95" s="2" t="s">
        <v>19</v>
      </c>
      <c r="Q95" s="2" t="s">
        <v>48</v>
      </c>
      <c r="R95" s="6">
        <f>(1-M95)*الجدول1_1[[#This Row],[Sales_Amount]]</f>
        <v>3189.2224000000001</v>
      </c>
      <c r="S95"/>
    </row>
    <row r="96" spans="1:19" x14ac:dyDescent="0.3">
      <c r="A96">
        <v>1020</v>
      </c>
      <c r="B96" s="1">
        <v>45177</v>
      </c>
      <c r="C96" s="2" t="s">
        <v>38</v>
      </c>
      <c r="D96" s="2" t="s">
        <v>15</v>
      </c>
      <c r="E96">
        <v>5163.7852999999996</v>
      </c>
      <c r="F96">
        <v>97.334699999999998</v>
      </c>
      <c r="G96">
        <v>9733.4699999999993</v>
      </c>
      <c r="H96">
        <v>26</v>
      </c>
      <c r="I96" s="2" t="s">
        <v>29</v>
      </c>
      <c r="J96">
        <v>4472.3500000000004</v>
      </c>
      <c r="K96">
        <v>4770.42</v>
      </c>
      <c r="L96" s="2" t="s">
        <v>30</v>
      </c>
      <c r="M96" s="7">
        <v>0.01</v>
      </c>
      <c r="N96">
        <v>0.01</v>
      </c>
      <c r="O96" s="2" t="s">
        <v>31</v>
      </c>
      <c r="P96" s="2" t="s">
        <v>22</v>
      </c>
      <c r="Q96" s="2" t="s">
        <v>40</v>
      </c>
      <c r="R96" s="6">
        <f>(1-M96)*الجدول1_1[[#This Row],[Sales_Amount]]</f>
        <v>9636.1352999999999</v>
      </c>
      <c r="S96"/>
    </row>
    <row r="97" spans="1:19" x14ac:dyDescent="0.3">
      <c r="A97">
        <v>1067</v>
      </c>
      <c r="B97" s="1">
        <v>45106</v>
      </c>
      <c r="C97" s="2" t="s">
        <v>38</v>
      </c>
      <c r="D97" s="2" t="s">
        <v>25</v>
      </c>
      <c r="E97">
        <v>-4216.1890000000003</v>
      </c>
      <c r="F97">
        <v>11.459</v>
      </c>
      <c r="G97">
        <v>114.59</v>
      </c>
      <c r="H97">
        <v>48</v>
      </c>
      <c r="I97" s="2" t="s">
        <v>26</v>
      </c>
      <c r="J97">
        <v>4319.32</v>
      </c>
      <c r="K97">
        <v>4625.5599999999904</v>
      </c>
      <c r="L97" s="2" t="s">
        <v>17</v>
      </c>
      <c r="M97" s="7">
        <v>0.1</v>
      </c>
      <c r="N97">
        <v>0.1</v>
      </c>
      <c r="O97" s="2" t="s">
        <v>27</v>
      </c>
      <c r="P97" s="2" t="s">
        <v>19</v>
      </c>
      <c r="Q97" s="2" t="s">
        <v>39</v>
      </c>
      <c r="R97" s="6">
        <f>(1-M97)*الجدول1_1[[#This Row],[Sales_Amount]]</f>
        <v>103.131</v>
      </c>
      <c r="S97"/>
    </row>
    <row r="98" spans="1:19" x14ac:dyDescent="0.3">
      <c r="A98">
        <v>1031</v>
      </c>
      <c r="B98" s="1">
        <v>45268</v>
      </c>
      <c r="C98" s="2" t="s">
        <v>24</v>
      </c>
      <c r="D98" s="2" t="s">
        <v>15</v>
      </c>
      <c r="E98">
        <v>1817.598</v>
      </c>
      <c r="F98">
        <v>1513.412</v>
      </c>
      <c r="G98">
        <v>7567.06</v>
      </c>
      <c r="H98">
        <v>22</v>
      </c>
      <c r="I98" s="2" t="s">
        <v>26</v>
      </c>
      <c r="J98">
        <v>4236.05</v>
      </c>
      <c r="K98">
        <v>4382.32</v>
      </c>
      <c r="L98" s="2" t="s">
        <v>30</v>
      </c>
      <c r="M98" s="7">
        <v>0.2</v>
      </c>
      <c r="N98">
        <v>0.2</v>
      </c>
      <c r="O98" s="2" t="s">
        <v>27</v>
      </c>
      <c r="P98" s="2" t="s">
        <v>19</v>
      </c>
      <c r="Q98" s="2" t="s">
        <v>45</v>
      </c>
      <c r="R98" s="6">
        <f>(1-M98)*الجدول1_1[[#This Row],[Sales_Amount]]</f>
        <v>6053.648000000001</v>
      </c>
      <c r="S98"/>
    </row>
    <row r="99" spans="1:19" x14ac:dyDescent="0.3">
      <c r="A99">
        <v>1025</v>
      </c>
      <c r="B99" s="1">
        <v>45214</v>
      </c>
      <c r="C99" s="2" t="s">
        <v>24</v>
      </c>
      <c r="D99" s="2" t="s">
        <v>15</v>
      </c>
      <c r="E99">
        <v>1868.3692000000001</v>
      </c>
      <c r="F99">
        <v>68.450800000000001</v>
      </c>
      <c r="G99">
        <v>3422.54</v>
      </c>
      <c r="H99">
        <v>44</v>
      </c>
      <c r="I99" s="2" t="s">
        <v>26</v>
      </c>
      <c r="J99">
        <v>1485.72</v>
      </c>
      <c r="K99">
        <v>1717.97</v>
      </c>
      <c r="L99" s="2" t="s">
        <v>30</v>
      </c>
      <c r="M99" s="7">
        <v>0.02</v>
      </c>
      <c r="N99">
        <v>0.02</v>
      </c>
      <c r="O99" s="2" t="s">
        <v>31</v>
      </c>
      <c r="P99" s="2" t="s">
        <v>22</v>
      </c>
      <c r="Q99" s="2" t="s">
        <v>45</v>
      </c>
      <c r="R99" s="6">
        <f>(1-M99)*الجدول1_1[[#This Row],[Sales_Amount]]</f>
        <v>3354.0891999999999</v>
      </c>
      <c r="S99"/>
    </row>
    <row r="100" spans="1:19" x14ac:dyDescent="0.3">
      <c r="A100">
        <v>1046</v>
      </c>
      <c r="B100" s="1">
        <v>44946</v>
      </c>
      <c r="C100" s="2" t="s">
        <v>38</v>
      </c>
      <c r="D100" s="2" t="s">
        <v>34</v>
      </c>
      <c r="E100">
        <v>-358.08199999999999</v>
      </c>
      <c r="F100">
        <v>410.48200000000003</v>
      </c>
      <c r="G100">
        <v>4104.82</v>
      </c>
      <c r="H100">
        <v>43</v>
      </c>
      <c r="I100" s="2" t="s">
        <v>29</v>
      </c>
      <c r="J100">
        <v>4052.42</v>
      </c>
      <c r="K100">
        <v>4199.3</v>
      </c>
      <c r="L100" s="2" t="s">
        <v>30</v>
      </c>
      <c r="M100" s="7">
        <v>0.1</v>
      </c>
      <c r="N100">
        <v>0.1</v>
      </c>
      <c r="O100" s="2" t="s">
        <v>27</v>
      </c>
      <c r="P100" s="2" t="s">
        <v>22</v>
      </c>
      <c r="Q100" s="2" t="s">
        <v>48</v>
      </c>
      <c r="R100" s="6">
        <f>(1-M100)*الجدول1_1[[#This Row],[Sales_Amount]]</f>
        <v>3694.3379999999997</v>
      </c>
      <c r="S100"/>
    </row>
    <row r="101" spans="1:19" x14ac:dyDescent="0.3">
      <c r="A101">
        <v>1010</v>
      </c>
      <c r="B101" s="1">
        <v>44973</v>
      </c>
      <c r="C101" s="2" t="s">
        <v>24</v>
      </c>
      <c r="D101" s="2" t="s">
        <v>34</v>
      </c>
      <c r="E101">
        <v>-687.14819999999997</v>
      </c>
      <c r="F101">
        <v>100.73820000000001</v>
      </c>
      <c r="G101">
        <v>1678.97</v>
      </c>
      <c r="H101">
        <v>47</v>
      </c>
      <c r="I101" s="2" t="s">
        <v>16</v>
      </c>
      <c r="J101">
        <v>2265.38</v>
      </c>
      <c r="K101">
        <v>2429.9299999999998</v>
      </c>
      <c r="L101" s="2" t="s">
        <v>17</v>
      </c>
      <c r="M101" s="7">
        <v>0.06</v>
      </c>
      <c r="N101">
        <v>0.06</v>
      </c>
      <c r="O101" s="2" t="s">
        <v>27</v>
      </c>
      <c r="P101" s="2" t="s">
        <v>19</v>
      </c>
      <c r="Q101" s="2" t="s">
        <v>50</v>
      </c>
      <c r="R101" s="6">
        <f>(1-M101)*الجدول1_1[[#This Row],[Sales_Amount]]</f>
        <v>1578.2318</v>
      </c>
      <c r="S10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0429-012A-481D-B922-3611A04A782F}">
  <dimension ref="A1:P1001"/>
  <sheetViews>
    <sheetView rightToLeft="1" topLeftCell="A2" workbookViewId="0">
      <selection activeCell="K14" sqref="K14"/>
    </sheetView>
  </sheetViews>
  <sheetFormatPr defaultRowHeight="14" x14ac:dyDescent="0.3"/>
  <cols>
    <col min="1" max="1" width="12.08203125" customWidth="1"/>
    <col min="2" max="2" width="11.1640625" customWidth="1"/>
    <col min="3" max="3" width="11.6640625" customWidth="1"/>
    <col min="5" max="5" width="14.9140625" customWidth="1"/>
    <col min="6" max="6" width="14.5" customWidth="1"/>
    <col min="7" max="7" width="18" customWidth="1"/>
    <col min="8" max="8" width="11" customWidth="1"/>
    <col min="9" max="9" width="11.33203125" customWidth="1"/>
    <col min="10" max="10" width="16.1640625" customWidth="1"/>
    <col min="11" max="11" width="10.1640625" style="7" customWidth="1"/>
    <col min="12" max="12" width="17.25" customWidth="1"/>
    <col min="13" max="13" width="15.25" customWidth="1"/>
    <col min="14" max="14" width="22.83203125" customWidth="1"/>
    <col min="15" max="15" width="11.1640625" style="7" customWidth="1"/>
    <col min="16" max="16" width="11.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7" t="s">
        <v>10</v>
      </c>
      <c r="L1" t="s">
        <v>11</v>
      </c>
      <c r="M1" t="s">
        <v>12</v>
      </c>
      <c r="N1" t="s">
        <v>13</v>
      </c>
      <c r="O1" s="7" t="s">
        <v>76</v>
      </c>
      <c r="P1" t="s">
        <v>69</v>
      </c>
    </row>
    <row r="2" spans="1:16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 s="7">
        <v>0.09</v>
      </c>
      <c r="L2" t="s">
        <v>18</v>
      </c>
      <c r="M2" t="s">
        <v>19</v>
      </c>
      <c r="N2" t="s">
        <v>20</v>
      </c>
      <c r="O2" s="7">
        <f>الجدول1[[#This Row],[Discount]]*1</f>
        <v>0.09</v>
      </c>
      <c r="P2">
        <f>الجدول1[[#This Row],[Sales_Amount]]*(1-الجدول1[[#This Row],[Discount]])</f>
        <v>4599.1127000000006</v>
      </c>
    </row>
    <row r="3" spans="1:16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 s="7">
        <v>0.11</v>
      </c>
      <c r="L3" t="s">
        <v>18</v>
      </c>
      <c r="M3" t="s">
        <v>22</v>
      </c>
      <c r="N3" t="s">
        <v>23</v>
      </c>
      <c r="O3" s="7">
        <f>الجدول1[[#This Row],[Discount]]*1</f>
        <v>0.11</v>
      </c>
      <c r="P3">
        <f>الجدول1[[#This Row],[Sales_Amount]]*(1-الجدول1[[#This Row],[Discount]])</f>
        <v>3901.7778000000003</v>
      </c>
    </row>
    <row r="4" spans="1:16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 s="7">
        <v>0.2</v>
      </c>
      <c r="L4" t="s">
        <v>27</v>
      </c>
      <c r="M4" t="s">
        <v>22</v>
      </c>
      <c r="N4" t="s">
        <v>28</v>
      </c>
      <c r="O4" s="7">
        <f>الجدول1[[#This Row],[Discount]]*1</f>
        <v>0.2</v>
      </c>
      <c r="P4">
        <f>الجدول1[[#This Row],[Sales_Amount]]*(1-الجدول1[[#This Row],[Discount]])</f>
        <v>3704.9839999999999</v>
      </c>
    </row>
    <row r="5" spans="1:16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78</v>
      </c>
      <c r="H5">
        <v>4330.03</v>
      </c>
      <c r="I5">
        <v>4467.75</v>
      </c>
      <c r="J5" t="s">
        <v>30</v>
      </c>
      <c r="K5" s="7">
        <v>0.02</v>
      </c>
      <c r="L5" t="s">
        <v>31</v>
      </c>
      <c r="M5" t="s">
        <v>22</v>
      </c>
      <c r="N5" t="s">
        <v>32</v>
      </c>
      <c r="O5" s="7">
        <f>الجدول1[[#This Row],[Discount]]*1</f>
        <v>0.02</v>
      </c>
      <c r="P5">
        <f>الجدول1[[#This Row],[Sales_Amount]]*(1-الجدول1[[#This Row],[Discount]])</f>
        <v>2124.5812000000001</v>
      </c>
    </row>
    <row r="6" spans="1:16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 s="7">
        <v>0.08</v>
      </c>
      <c r="L6" t="s">
        <v>31</v>
      </c>
      <c r="M6" t="s">
        <v>19</v>
      </c>
      <c r="N6" t="s">
        <v>36</v>
      </c>
      <c r="O6" s="7">
        <f>الجدول1[[#This Row],[Discount]]*1</f>
        <v>0.08</v>
      </c>
      <c r="P6">
        <f>الجدول1[[#This Row],[Sales_Amount]]*(1-الجدول1[[#This Row],[Discount]])</f>
        <v>3450.1840000000002</v>
      </c>
    </row>
    <row r="7" spans="1:16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 s="7">
        <v>0.21</v>
      </c>
      <c r="L7" t="s">
        <v>18</v>
      </c>
      <c r="M7" t="s">
        <v>19</v>
      </c>
      <c r="N7" t="s">
        <v>37</v>
      </c>
      <c r="O7" s="7">
        <f>الجدول1[[#This Row],[Discount]]*1</f>
        <v>0.21</v>
      </c>
      <c r="P7">
        <f>الجدول1[[#This Row],[Sales_Amount]]*(1-الجدول1[[#This Row],[Discount]])</f>
        <v>2971.3085000000001</v>
      </c>
    </row>
    <row r="8" spans="1:16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 s="7">
        <v>0.14000000000000001</v>
      </c>
      <c r="L8" t="s">
        <v>18</v>
      </c>
      <c r="M8" t="s">
        <v>19</v>
      </c>
      <c r="N8" t="s">
        <v>23</v>
      </c>
      <c r="O8" s="7">
        <f>الجدول1[[#This Row],[Discount]]*1</f>
        <v>0.14000000000000001</v>
      </c>
      <c r="P8">
        <f>الجدول1[[#This Row],[Sales_Amount]]*(1-الجدول1[[#This Row],[Discount]])</f>
        <v>531.74659999999994</v>
      </c>
    </row>
    <row r="9" spans="1:16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 s="7">
        <v>0.12</v>
      </c>
      <c r="L9" t="s">
        <v>27</v>
      </c>
      <c r="M9" t="s">
        <v>19</v>
      </c>
      <c r="N9" t="s">
        <v>39</v>
      </c>
      <c r="O9" s="7">
        <f>الجدول1[[#This Row],[Discount]]*1</f>
        <v>0.12</v>
      </c>
      <c r="P9">
        <f>الجدول1[[#This Row],[Sales_Amount]]*(1-الجدول1[[#This Row],[Discount]])</f>
        <v>6775.0496000000003</v>
      </c>
    </row>
    <row r="10" spans="1:16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 s="7">
        <v>0.05</v>
      </c>
      <c r="L10" t="s">
        <v>27</v>
      </c>
      <c r="M10" t="s">
        <v>19</v>
      </c>
      <c r="N10" t="s">
        <v>28</v>
      </c>
      <c r="O10" s="7">
        <f>الجدول1[[#This Row],[Discount]]*1</f>
        <v>0.05</v>
      </c>
      <c r="P10">
        <f>الجدول1[[#This Row],[Sales_Amount]]*(1-الجدول1[[#This Row],[Discount]])</f>
        <v>4012.2204999999999</v>
      </c>
    </row>
    <row r="11" spans="1:16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 s="7">
        <v>0.13</v>
      </c>
      <c r="L11" t="s">
        <v>27</v>
      </c>
      <c r="M11" t="s">
        <v>19</v>
      </c>
      <c r="N11" t="s">
        <v>37</v>
      </c>
      <c r="O11" s="7">
        <f>الجدول1[[#This Row],[Discount]]*1</f>
        <v>0.13</v>
      </c>
      <c r="P11">
        <f>الجدول1[[#This Row],[Sales_Amount]]*(1-الجدول1[[#This Row],[Discount]])</f>
        <v>7168.4345999999996</v>
      </c>
    </row>
    <row r="12" spans="1:16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 s="7">
        <v>0.23</v>
      </c>
      <c r="L12" t="s">
        <v>27</v>
      </c>
      <c r="M12" t="s">
        <v>22</v>
      </c>
      <c r="N12" t="s">
        <v>40</v>
      </c>
      <c r="O12" s="7">
        <f>الجدول1[[#This Row],[Discount]]*1</f>
        <v>0.23</v>
      </c>
      <c r="P12">
        <f>الجدول1[[#This Row],[Sales_Amount]]*(1-الجدول1[[#This Row],[Discount]])</f>
        <v>6559.2065000000011</v>
      </c>
    </row>
    <row r="13" spans="1:16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H13">
        <v>1100.81</v>
      </c>
      <c r="I13">
        <v>1137.44</v>
      </c>
      <c r="J13" t="s">
        <v>17</v>
      </c>
      <c r="K13" s="7">
        <v>0.08</v>
      </c>
      <c r="L13" t="s">
        <v>27</v>
      </c>
      <c r="M13" t="s">
        <v>19</v>
      </c>
      <c r="N13" t="s">
        <v>23</v>
      </c>
      <c r="O13" s="7">
        <f>الجدول1[[#This Row],[Discount]]*1</f>
        <v>0.08</v>
      </c>
      <c r="P13">
        <f>الجدول1[[#This Row],[Sales_Amount]]*(1-الجدول1[[#This Row],[Discount]])</f>
        <v>2022.8407999999999</v>
      </c>
    </row>
    <row r="14" spans="1:16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 s="7">
        <v>0</v>
      </c>
      <c r="L14" t="s">
        <v>27</v>
      </c>
      <c r="M14" t="s">
        <v>22</v>
      </c>
      <c r="N14" t="s">
        <v>41</v>
      </c>
      <c r="O14" s="7">
        <f>الجدول1[[#This Row],[Discount]]*1</f>
        <v>0</v>
      </c>
      <c r="P14">
        <f>الجدول1[[#This Row],[Sales_Amount]]*(1-الجدول1[[#This Row],[Discount]])</f>
        <v>6607.8</v>
      </c>
    </row>
    <row r="15" spans="1:16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 s="7">
        <v>0.2</v>
      </c>
      <c r="L15" t="s">
        <v>18</v>
      </c>
      <c r="M15" t="s">
        <v>19</v>
      </c>
      <c r="N15" t="s">
        <v>43</v>
      </c>
      <c r="O15" s="7">
        <f>الجدول1[[#This Row],[Discount]]*1</f>
        <v>0.2</v>
      </c>
      <c r="P15">
        <f>الجدول1[[#This Row],[Sales_Amount]]*(1-الجدول1[[#This Row],[Discount]])</f>
        <v>3820.4720000000002</v>
      </c>
    </row>
    <row r="16" spans="1:16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 s="7">
        <v>0.28999999999999998</v>
      </c>
      <c r="L16" t="s">
        <v>27</v>
      </c>
      <c r="M16" t="s">
        <v>22</v>
      </c>
      <c r="N16" t="s">
        <v>44</v>
      </c>
      <c r="O16" s="7">
        <f>الجدول1[[#This Row],[Discount]]*1</f>
        <v>0.28999999999999998</v>
      </c>
      <c r="P16">
        <f>الجدول1[[#This Row],[Sales_Amount]]*(1-الجدول1[[#This Row],[Discount]])</f>
        <v>6257.6204999999991</v>
      </c>
    </row>
    <row r="17" spans="1:16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 s="7">
        <v>0.18</v>
      </c>
      <c r="L17" t="s">
        <v>18</v>
      </c>
      <c r="M17" t="s">
        <v>22</v>
      </c>
      <c r="N17" t="s">
        <v>20</v>
      </c>
      <c r="O17" s="7">
        <f>الجدول1[[#This Row],[Discount]]*1</f>
        <v>0.18</v>
      </c>
      <c r="P17">
        <f>الجدول1[[#This Row],[Sales_Amount]]*(1-الجدول1[[#This Row],[Discount]])</f>
        <v>1833.3806000000002</v>
      </c>
    </row>
    <row r="18" spans="1:16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 s="7">
        <v>0.04</v>
      </c>
      <c r="L18" t="s">
        <v>18</v>
      </c>
      <c r="M18" t="s">
        <v>19</v>
      </c>
      <c r="N18" t="s">
        <v>45</v>
      </c>
      <c r="O18" s="7">
        <f>الجدول1[[#This Row],[Discount]]*1</f>
        <v>0.04</v>
      </c>
      <c r="P18">
        <f>الجدول1[[#This Row],[Sales_Amount]]*(1-الجدول1[[#This Row],[Discount]])</f>
        <v>6537.9359999999997</v>
      </c>
    </row>
    <row r="19" spans="1:16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 s="7">
        <v>0.1</v>
      </c>
      <c r="L19" t="s">
        <v>31</v>
      </c>
      <c r="M19" t="s">
        <v>22</v>
      </c>
      <c r="N19" t="s">
        <v>46</v>
      </c>
      <c r="O19" s="7">
        <f>الجدول1[[#This Row],[Discount]]*1</f>
        <v>0.1</v>
      </c>
      <c r="P19">
        <f>الجدول1[[#This Row],[Sales_Amount]]*(1-الجدول1[[#This Row],[Discount]])</f>
        <v>5505.0749999999998</v>
      </c>
    </row>
    <row r="20" spans="1:16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 s="7">
        <v>0.26</v>
      </c>
      <c r="L20" t="s">
        <v>18</v>
      </c>
      <c r="M20" t="s">
        <v>19</v>
      </c>
      <c r="N20" t="s">
        <v>47</v>
      </c>
      <c r="O20" s="7">
        <f>الجدول1[[#This Row],[Discount]]*1</f>
        <v>0.26</v>
      </c>
      <c r="P20">
        <f>الجدول1[[#This Row],[Sales_Amount]]*(1-الجدول1[[#This Row],[Discount]])</f>
        <v>2237.3751999999999</v>
      </c>
    </row>
    <row r="21" spans="1:16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 s="7">
        <v>7.0000000000000007E-2</v>
      </c>
      <c r="L21" t="s">
        <v>18</v>
      </c>
      <c r="M21" t="s">
        <v>19</v>
      </c>
      <c r="N21" t="s">
        <v>32</v>
      </c>
      <c r="O21" s="7">
        <f>الجدول1[[#This Row],[Discount]]*1</f>
        <v>7.0000000000000007E-2</v>
      </c>
      <c r="P21">
        <f>الجدول1[[#This Row],[Sales_Amount]]*(1-الجدول1[[#This Row],[Discount]])</f>
        <v>1350.6854999999998</v>
      </c>
    </row>
    <row r="22" spans="1:16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 s="7">
        <v>0.18</v>
      </c>
      <c r="L22" t="s">
        <v>27</v>
      </c>
      <c r="M22" t="s">
        <v>19</v>
      </c>
      <c r="N22" t="s">
        <v>40</v>
      </c>
      <c r="O22" s="7">
        <f>الجدول1[[#This Row],[Discount]]*1</f>
        <v>0.18</v>
      </c>
      <c r="P22">
        <f>الجدول1[[#This Row],[Sales_Amount]]*(1-الجدول1[[#This Row],[Discount]])</f>
        <v>5372.0086000000001</v>
      </c>
    </row>
    <row r="23" spans="1:16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 s="7">
        <v>0.12</v>
      </c>
      <c r="L23" t="s">
        <v>18</v>
      </c>
      <c r="M23" t="s">
        <v>19</v>
      </c>
      <c r="N23" t="s">
        <v>48</v>
      </c>
      <c r="O23" s="7">
        <f>الجدول1[[#This Row],[Discount]]*1</f>
        <v>0.12</v>
      </c>
      <c r="P23">
        <f>الجدول1[[#This Row],[Sales_Amount]]*(1-الجدول1[[#This Row],[Discount]])</f>
        <v>6522.6567999999997</v>
      </c>
    </row>
    <row r="24" spans="1:16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 s="7">
        <v>0.06</v>
      </c>
      <c r="L24" t="s">
        <v>27</v>
      </c>
      <c r="M24" t="s">
        <v>22</v>
      </c>
      <c r="N24" t="s">
        <v>48</v>
      </c>
      <c r="O24" s="7">
        <f>الجدول1[[#This Row],[Discount]]*1</f>
        <v>0.06</v>
      </c>
      <c r="P24">
        <f>الجدول1[[#This Row],[Sales_Amount]]*(1-الجدول1[[#This Row],[Discount]])</f>
        <v>3031.2273999999998</v>
      </c>
    </row>
    <row r="25" spans="1:16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 s="7">
        <v>0.24</v>
      </c>
      <c r="L25" t="s">
        <v>27</v>
      </c>
      <c r="M25" t="s">
        <v>19</v>
      </c>
      <c r="N25" t="s">
        <v>43</v>
      </c>
      <c r="O25" s="7">
        <f>الجدول1[[#This Row],[Discount]]*1</f>
        <v>0.24</v>
      </c>
      <c r="P25">
        <f>الجدول1[[#This Row],[Sales_Amount]]*(1-الجدول1[[#This Row],[Discount]])</f>
        <v>4927.7183999999997</v>
      </c>
    </row>
    <row r="26" spans="1:16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 s="7">
        <v>0.22</v>
      </c>
      <c r="L26" t="s">
        <v>27</v>
      </c>
      <c r="M26" t="s">
        <v>22</v>
      </c>
      <c r="N26" t="s">
        <v>28</v>
      </c>
      <c r="O26" s="7">
        <f>الجدول1[[#This Row],[Discount]]*1</f>
        <v>0.22</v>
      </c>
      <c r="P26">
        <f>الجدول1[[#This Row],[Sales_Amount]]*(1-الجدول1[[#This Row],[Discount]])</f>
        <v>3129.2040000000002</v>
      </c>
    </row>
    <row r="27" spans="1:16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 s="7">
        <v>0.2</v>
      </c>
      <c r="L27" t="s">
        <v>31</v>
      </c>
      <c r="M27" t="s">
        <v>22</v>
      </c>
      <c r="N27" t="s">
        <v>48</v>
      </c>
      <c r="O27" s="7">
        <f>الجدول1[[#This Row],[Discount]]*1</f>
        <v>0.2</v>
      </c>
      <c r="P27">
        <f>الجدول1[[#This Row],[Sales_Amount]]*(1-الجدول1[[#This Row],[Discount]])</f>
        <v>5728.6</v>
      </c>
    </row>
    <row r="28" spans="1:16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 s="7">
        <v>7.0000000000000007E-2</v>
      </c>
      <c r="L28" t="s">
        <v>27</v>
      </c>
      <c r="M28" t="s">
        <v>22</v>
      </c>
      <c r="N28" t="s">
        <v>49</v>
      </c>
      <c r="O28" s="7">
        <f>الجدول1[[#This Row],[Discount]]*1</f>
        <v>7.0000000000000007E-2</v>
      </c>
      <c r="P28">
        <f>الجدول1[[#This Row],[Sales_Amount]]*(1-الجدول1[[#This Row],[Discount]])</f>
        <v>1927.1738999999998</v>
      </c>
    </row>
    <row r="29" spans="1:16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 s="7">
        <v>0.03</v>
      </c>
      <c r="L29" t="s">
        <v>18</v>
      </c>
      <c r="M29" t="s">
        <v>19</v>
      </c>
      <c r="N29" t="s">
        <v>50</v>
      </c>
      <c r="O29" s="7">
        <f>الجدول1[[#This Row],[Discount]]*1</f>
        <v>0.03</v>
      </c>
      <c r="P29">
        <f>الجدول1[[#This Row],[Sales_Amount]]*(1-الجدول1[[#This Row],[Discount]])</f>
        <v>8645.7360999999983</v>
      </c>
    </row>
    <row r="30" spans="1:16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 s="7">
        <v>0.17</v>
      </c>
      <c r="L30" t="s">
        <v>27</v>
      </c>
      <c r="M30" t="s">
        <v>22</v>
      </c>
      <c r="N30" t="s">
        <v>23</v>
      </c>
      <c r="O30" s="7">
        <f>الجدول1[[#This Row],[Discount]]*1</f>
        <v>0.17</v>
      </c>
      <c r="P30">
        <f>الجدول1[[#This Row],[Sales_Amount]]*(1-الجدول1[[#This Row],[Discount]])</f>
        <v>2444.6487999999999</v>
      </c>
    </row>
    <row r="31" spans="1:16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 s="7">
        <v>0.17</v>
      </c>
      <c r="L31" t="s">
        <v>27</v>
      </c>
      <c r="M31" t="s">
        <v>19</v>
      </c>
      <c r="N31" t="s">
        <v>51</v>
      </c>
      <c r="O31" s="7">
        <f>الجدول1[[#This Row],[Discount]]*1</f>
        <v>0.17</v>
      </c>
      <c r="P31">
        <f>الجدول1[[#This Row],[Sales_Amount]]*(1-الجدول1[[#This Row],[Discount]])</f>
        <v>3105.0963999999999</v>
      </c>
    </row>
    <row r="32" spans="1:16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 s="7">
        <v>0.06</v>
      </c>
      <c r="L32" t="s">
        <v>27</v>
      </c>
      <c r="M32" t="s">
        <v>22</v>
      </c>
      <c r="N32" t="s">
        <v>44</v>
      </c>
      <c r="O32" s="7">
        <f>الجدول1[[#This Row],[Discount]]*1</f>
        <v>0.06</v>
      </c>
      <c r="P32">
        <f>الجدول1[[#This Row],[Sales_Amount]]*(1-الجدول1[[#This Row],[Discount]])</f>
        <v>634.60339999999997</v>
      </c>
    </row>
    <row r="33" spans="1:16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 s="7">
        <v>0.02</v>
      </c>
      <c r="L33" t="s">
        <v>31</v>
      </c>
      <c r="M33" t="s">
        <v>19</v>
      </c>
      <c r="N33" t="s">
        <v>49</v>
      </c>
      <c r="O33" s="7">
        <f>الجدول1[[#This Row],[Discount]]*1</f>
        <v>0.02</v>
      </c>
      <c r="P33">
        <f>الجدول1[[#This Row],[Sales_Amount]]*(1-الجدول1[[#This Row],[Discount]])</f>
        <v>1179.8905999999999</v>
      </c>
    </row>
    <row r="34" spans="1:16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 s="7">
        <v>0.02</v>
      </c>
      <c r="L34" t="s">
        <v>18</v>
      </c>
      <c r="M34" t="s">
        <v>19</v>
      </c>
      <c r="N34" t="s">
        <v>49</v>
      </c>
      <c r="O34" s="7">
        <f>الجدول1[[#This Row],[Discount]]*1</f>
        <v>0.02</v>
      </c>
      <c r="P34">
        <f>الجدول1[[#This Row],[Sales_Amount]]*(1-الجدول1[[#This Row],[Discount]])</f>
        <v>5102.8894</v>
      </c>
    </row>
    <row r="35" spans="1:16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 s="7">
        <v>0.3</v>
      </c>
      <c r="L35" t="s">
        <v>31</v>
      </c>
      <c r="M35" t="s">
        <v>19</v>
      </c>
      <c r="N35" t="s">
        <v>47</v>
      </c>
      <c r="O35" s="7">
        <f>الجدول1[[#This Row],[Discount]]*1</f>
        <v>0.3</v>
      </c>
      <c r="P35">
        <f>الجدول1[[#This Row],[Sales_Amount]]*(1-الجدول1[[#This Row],[Discount]])</f>
        <v>1924.4189999999999</v>
      </c>
    </row>
    <row r="36" spans="1:16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 s="7">
        <v>0.24</v>
      </c>
      <c r="L36" t="s">
        <v>18</v>
      </c>
      <c r="M36" t="s">
        <v>19</v>
      </c>
      <c r="N36" t="s">
        <v>46</v>
      </c>
      <c r="O36" s="7">
        <f>الجدول1[[#This Row],[Discount]]*1</f>
        <v>0.24</v>
      </c>
      <c r="P36">
        <f>الجدول1[[#This Row],[Sales_Amount]]*(1-الجدول1[[#This Row],[Discount]])</f>
        <v>6362.15</v>
      </c>
    </row>
    <row r="37" spans="1:16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 s="7">
        <v>0.28000000000000003</v>
      </c>
      <c r="L37" t="s">
        <v>31</v>
      </c>
      <c r="M37" t="s">
        <v>22</v>
      </c>
      <c r="N37" t="s">
        <v>44</v>
      </c>
      <c r="O37" s="7">
        <f>الجدول1[[#This Row],[Discount]]*1</f>
        <v>0.28000000000000003</v>
      </c>
      <c r="P37">
        <f>الجدول1[[#This Row],[Sales_Amount]]*(1-الجدول1[[#This Row],[Discount]])</f>
        <v>176.7312</v>
      </c>
    </row>
    <row r="38" spans="1:16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 s="7">
        <v>0.06</v>
      </c>
      <c r="L38" t="s">
        <v>18</v>
      </c>
      <c r="M38" t="s">
        <v>22</v>
      </c>
      <c r="N38" t="s">
        <v>48</v>
      </c>
      <c r="O38" s="7">
        <f>الجدول1[[#This Row],[Discount]]*1</f>
        <v>0.06</v>
      </c>
      <c r="P38">
        <f>الجدول1[[#This Row],[Sales_Amount]]*(1-الجدول1[[#This Row],[Discount]])</f>
        <v>3621.8481999999999</v>
      </c>
    </row>
    <row r="39" spans="1:16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 s="7">
        <v>0.28999999999999998</v>
      </c>
      <c r="L39" t="s">
        <v>31</v>
      </c>
      <c r="M39" t="s">
        <v>19</v>
      </c>
      <c r="N39" t="s">
        <v>48</v>
      </c>
      <c r="O39" s="7">
        <f>الجدول1[[#This Row],[Discount]]*1</f>
        <v>0.28999999999999998</v>
      </c>
      <c r="P39">
        <f>الجدول1[[#This Row],[Sales_Amount]]*(1-الجدول1[[#This Row],[Discount]])</f>
        <v>2442.2011999999995</v>
      </c>
    </row>
    <row r="40" spans="1:16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 s="7">
        <v>0.04</v>
      </c>
      <c r="L40" t="s">
        <v>27</v>
      </c>
      <c r="M40" t="s">
        <v>22</v>
      </c>
      <c r="N40" t="s">
        <v>52</v>
      </c>
      <c r="O40" s="7">
        <f>الجدول1[[#This Row],[Discount]]*1</f>
        <v>0.04</v>
      </c>
      <c r="P40">
        <f>الجدول1[[#This Row],[Sales_Amount]]*(1-الجدول1[[#This Row],[Discount]])</f>
        <v>279.68639999999999</v>
      </c>
    </row>
    <row r="41" spans="1:16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 s="7">
        <v>0.15</v>
      </c>
      <c r="L41" t="s">
        <v>31</v>
      </c>
      <c r="M41" t="s">
        <v>19</v>
      </c>
      <c r="N41" t="s">
        <v>45</v>
      </c>
      <c r="O41" s="7">
        <f>الجدول1[[#This Row],[Discount]]*1</f>
        <v>0.15</v>
      </c>
      <c r="P41">
        <f>الجدول1[[#This Row],[Sales_Amount]]*(1-الجدول1[[#This Row],[Discount]])</f>
        <v>1131.5625</v>
      </c>
    </row>
    <row r="42" spans="1:16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 s="7">
        <v>0.25</v>
      </c>
      <c r="L42" t="s">
        <v>31</v>
      </c>
      <c r="M42" t="s">
        <v>19</v>
      </c>
      <c r="N42" t="s">
        <v>47</v>
      </c>
      <c r="O42" s="7">
        <f>الجدول1[[#This Row],[Discount]]*1</f>
        <v>0.25</v>
      </c>
      <c r="P42">
        <f>الجدول1[[#This Row],[Sales_Amount]]*(1-الجدول1[[#This Row],[Discount]])</f>
        <v>3146.2950000000001</v>
      </c>
    </row>
    <row r="43" spans="1:16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 s="7">
        <v>0.1</v>
      </c>
      <c r="L43" t="s">
        <v>27</v>
      </c>
      <c r="M43" t="s">
        <v>22</v>
      </c>
      <c r="N43" t="s">
        <v>40</v>
      </c>
      <c r="O43" s="7">
        <f>الجدول1[[#This Row],[Discount]]*1</f>
        <v>0.1</v>
      </c>
      <c r="P43">
        <f>الجدول1[[#This Row],[Sales_Amount]]*(1-الجدول1[[#This Row],[Discount]])</f>
        <v>4481.424</v>
      </c>
    </row>
    <row r="44" spans="1:16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 s="7">
        <v>0.13</v>
      </c>
      <c r="L44" t="s">
        <v>27</v>
      </c>
      <c r="M44" t="s">
        <v>19</v>
      </c>
      <c r="N44" t="s">
        <v>37</v>
      </c>
      <c r="O44" s="7">
        <f>الجدول1[[#This Row],[Discount]]*1</f>
        <v>0.13</v>
      </c>
      <c r="P44">
        <f>الجدول1[[#This Row],[Sales_Amount]]*(1-الجدول1[[#This Row],[Discount]])</f>
        <v>3569.1489000000001</v>
      </c>
    </row>
    <row r="45" spans="1:16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 s="7">
        <v>0.04</v>
      </c>
      <c r="L45" t="s">
        <v>18</v>
      </c>
      <c r="M45" t="s">
        <v>19</v>
      </c>
      <c r="N45" t="s">
        <v>32</v>
      </c>
      <c r="O45" s="7">
        <f>الجدول1[[#This Row],[Discount]]*1</f>
        <v>0.04</v>
      </c>
      <c r="P45">
        <f>الجدول1[[#This Row],[Sales_Amount]]*(1-الجدول1[[#This Row],[Discount]])</f>
        <v>5142.0287999999991</v>
      </c>
    </row>
    <row r="46" spans="1:16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 s="7">
        <v>0.04</v>
      </c>
      <c r="L46" t="s">
        <v>18</v>
      </c>
      <c r="M46" t="s">
        <v>19</v>
      </c>
      <c r="N46" t="s">
        <v>44</v>
      </c>
      <c r="O46" s="7">
        <f>الجدول1[[#This Row],[Discount]]*1</f>
        <v>0.04</v>
      </c>
      <c r="P46">
        <f>الجدول1[[#This Row],[Sales_Amount]]*(1-الجدول1[[#This Row],[Discount]])</f>
        <v>5752.1279999999997</v>
      </c>
    </row>
    <row r="47" spans="1:16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 s="7">
        <v>0.19</v>
      </c>
      <c r="L47" t="s">
        <v>18</v>
      </c>
      <c r="M47" t="s">
        <v>19</v>
      </c>
      <c r="N47" t="s">
        <v>46</v>
      </c>
      <c r="O47" s="7">
        <f>الجدول1[[#This Row],[Discount]]*1</f>
        <v>0.19</v>
      </c>
      <c r="P47">
        <f>الجدول1[[#This Row],[Sales_Amount]]*(1-الجدول1[[#This Row],[Discount]])</f>
        <v>160.58250000000001</v>
      </c>
    </row>
    <row r="48" spans="1:16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 s="7">
        <v>0.2</v>
      </c>
      <c r="L48" t="s">
        <v>31</v>
      </c>
      <c r="M48" t="s">
        <v>19</v>
      </c>
      <c r="N48" t="s">
        <v>41</v>
      </c>
      <c r="O48" s="7">
        <f>الجدول1[[#This Row],[Discount]]*1</f>
        <v>0.2</v>
      </c>
      <c r="P48">
        <f>الجدول1[[#This Row],[Sales_Amount]]*(1-الجدول1[[#This Row],[Discount]])</f>
        <v>3755.6320000000001</v>
      </c>
    </row>
    <row r="49" spans="1:16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 s="7">
        <v>0.23</v>
      </c>
      <c r="L49" t="s">
        <v>18</v>
      </c>
      <c r="M49" t="s">
        <v>22</v>
      </c>
      <c r="N49" t="s">
        <v>23</v>
      </c>
      <c r="O49" s="7">
        <f>الجدول1[[#This Row],[Discount]]*1</f>
        <v>0.23</v>
      </c>
      <c r="P49">
        <f>الجدول1[[#This Row],[Sales_Amount]]*(1-الجدول1[[#This Row],[Discount]])</f>
        <v>7421.7527999999993</v>
      </c>
    </row>
    <row r="50" spans="1:16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 s="7">
        <v>0.17</v>
      </c>
      <c r="L50" t="s">
        <v>31</v>
      </c>
      <c r="M50" t="s">
        <v>22</v>
      </c>
      <c r="N50" t="s">
        <v>47</v>
      </c>
      <c r="O50" s="7">
        <f>الجدول1[[#This Row],[Discount]]*1</f>
        <v>0.17</v>
      </c>
      <c r="P50">
        <f>الجدول1[[#This Row],[Sales_Amount]]*(1-الجدول1[[#This Row],[Discount]])</f>
        <v>4347.8886000000002</v>
      </c>
    </row>
    <row r="51" spans="1:16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 s="7">
        <v>0.19</v>
      </c>
      <c r="L51" t="s">
        <v>31</v>
      </c>
      <c r="M51" t="s">
        <v>22</v>
      </c>
      <c r="N51" t="s">
        <v>52</v>
      </c>
      <c r="O51" s="7">
        <f>الجدول1[[#This Row],[Discount]]*1</f>
        <v>0.19</v>
      </c>
      <c r="P51">
        <f>الجدول1[[#This Row],[Sales_Amount]]*(1-الجدول1[[#This Row],[Discount]])</f>
        <v>5514.2127</v>
      </c>
    </row>
    <row r="52" spans="1:16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 s="7">
        <v>0</v>
      </c>
      <c r="L52" t="s">
        <v>18</v>
      </c>
      <c r="M52" t="s">
        <v>19</v>
      </c>
      <c r="N52" t="s">
        <v>52</v>
      </c>
      <c r="O52" s="7">
        <f>الجدول1[[#This Row],[Discount]]*1</f>
        <v>0</v>
      </c>
      <c r="P52">
        <f>الجدول1[[#This Row],[Sales_Amount]]*(1-الجدول1[[#This Row],[Discount]])</f>
        <v>3187.45</v>
      </c>
    </row>
    <row r="53" spans="1:16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 s="7">
        <v>0.05</v>
      </c>
      <c r="L53" t="s">
        <v>18</v>
      </c>
      <c r="M53" t="s">
        <v>19</v>
      </c>
      <c r="N53" t="s">
        <v>39</v>
      </c>
      <c r="O53" s="7">
        <f>الجدول1[[#This Row],[Discount]]*1</f>
        <v>0.05</v>
      </c>
      <c r="P53">
        <f>الجدول1[[#This Row],[Sales_Amount]]*(1-الجدول1[[#This Row],[Discount]])</f>
        <v>7374.3845000000001</v>
      </c>
    </row>
    <row r="54" spans="1:16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 s="7">
        <v>0.3</v>
      </c>
      <c r="L54" t="s">
        <v>31</v>
      </c>
      <c r="M54" t="s">
        <v>19</v>
      </c>
      <c r="N54" t="s">
        <v>45</v>
      </c>
      <c r="O54" s="7">
        <f>الجدول1[[#This Row],[Discount]]*1</f>
        <v>0.3</v>
      </c>
      <c r="P54">
        <f>الجدول1[[#This Row],[Sales_Amount]]*(1-الجدول1[[#This Row],[Discount]])</f>
        <v>5426.3440000000001</v>
      </c>
    </row>
    <row r="55" spans="1:16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 s="7">
        <v>0.02</v>
      </c>
      <c r="L55" t="s">
        <v>27</v>
      </c>
      <c r="M55" t="s">
        <v>19</v>
      </c>
      <c r="N55" t="s">
        <v>37</v>
      </c>
      <c r="O55" s="7">
        <f>الجدول1[[#This Row],[Discount]]*1</f>
        <v>0.02</v>
      </c>
      <c r="P55">
        <f>الجدول1[[#This Row],[Sales_Amount]]*(1-الجدول1[[#This Row],[Discount]])</f>
        <v>5155.6134000000002</v>
      </c>
    </row>
    <row r="56" spans="1:16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 s="7">
        <v>0.2</v>
      </c>
      <c r="L56" t="s">
        <v>27</v>
      </c>
      <c r="M56" t="s">
        <v>19</v>
      </c>
      <c r="N56" t="s">
        <v>47</v>
      </c>
      <c r="O56" s="7">
        <f>الجدول1[[#This Row],[Discount]]*1</f>
        <v>0.2</v>
      </c>
      <c r="P56">
        <f>الجدول1[[#This Row],[Sales_Amount]]*(1-الجدول1[[#This Row],[Discount]])</f>
        <v>7810.0320000000011</v>
      </c>
    </row>
    <row r="57" spans="1:16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 s="7">
        <v>0.05</v>
      </c>
      <c r="L57" t="s">
        <v>31</v>
      </c>
      <c r="M57" t="s">
        <v>19</v>
      </c>
      <c r="N57" t="s">
        <v>49</v>
      </c>
      <c r="O57" s="7">
        <f>الجدول1[[#This Row],[Discount]]*1</f>
        <v>0.05</v>
      </c>
      <c r="P57">
        <f>الجدول1[[#This Row],[Sales_Amount]]*(1-الجدول1[[#This Row],[Discount]])</f>
        <v>1275.8025</v>
      </c>
    </row>
    <row r="58" spans="1:16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 s="7">
        <v>0.22</v>
      </c>
      <c r="L58" t="s">
        <v>18</v>
      </c>
      <c r="M58" t="s">
        <v>22</v>
      </c>
      <c r="N58" t="s">
        <v>51</v>
      </c>
      <c r="O58" s="7">
        <f>الجدول1[[#This Row],[Discount]]*1</f>
        <v>0.22</v>
      </c>
      <c r="P58">
        <f>الجدول1[[#This Row],[Sales_Amount]]*(1-الجدول1[[#This Row],[Discount]])</f>
        <v>208.86839999999998</v>
      </c>
    </row>
    <row r="59" spans="1:16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 s="7">
        <v>0.21</v>
      </c>
      <c r="L59" t="s">
        <v>31</v>
      </c>
      <c r="M59" t="s">
        <v>19</v>
      </c>
      <c r="N59" t="s">
        <v>50</v>
      </c>
      <c r="O59" s="7">
        <f>الجدول1[[#This Row],[Discount]]*1</f>
        <v>0.21</v>
      </c>
      <c r="P59">
        <f>الجدول1[[#This Row],[Sales_Amount]]*(1-الجدول1[[#This Row],[Discount]])</f>
        <v>6102.4103000000005</v>
      </c>
    </row>
    <row r="60" spans="1:16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 s="7">
        <v>7.0000000000000007E-2</v>
      </c>
      <c r="L60" t="s">
        <v>31</v>
      </c>
      <c r="M60" t="s">
        <v>22</v>
      </c>
      <c r="N60" t="s">
        <v>50</v>
      </c>
      <c r="O60" s="7">
        <f>الجدول1[[#This Row],[Discount]]*1</f>
        <v>7.0000000000000007E-2</v>
      </c>
      <c r="P60">
        <f>الجدول1[[#This Row],[Sales_Amount]]*(1-الجدول1[[#This Row],[Discount]])</f>
        <v>7524.4811999999993</v>
      </c>
    </row>
    <row r="61" spans="1:16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 s="7">
        <v>0.08</v>
      </c>
      <c r="L61" t="s">
        <v>18</v>
      </c>
      <c r="M61" t="s">
        <v>19</v>
      </c>
      <c r="N61" t="s">
        <v>51</v>
      </c>
      <c r="O61" s="7">
        <f>الجدول1[[#This Row],[Discount]]*1</f>
        <v>0.08</v>
      </c>
      <c r="P61">
        <f>الجدول1[[#This Row],[Sales_Amount]]*(1-الجدول1[[#This Row],[Discount]])</f>
        <v>1186.846</v>
      </c>
    </row>
    <row r="62" spans="1:16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 s="7">
        <v>0.2</v>
      </c>
      <c r="L62" t="s">
        <v>27</v>
      </c>
      <c r="M62" t="s">
        <v>22</v>
      </c>
      <c r="N62" t="s">
        <v>36</v>
      </c>
      <c r="O62" s="7">
        <f>الجدول1[[#This Row],[Discount]]*1</f>
        <v>0.2</v>
      </c>
      <c r="P62">
        <f>الجدول1[[#This Row],[Sales_Amount]]*(1-الجدول1[[#This Row],[Discount]])</f>
        <v>2183.4160000000002</v>
      </c>
    </row>
    <row r="63" spans="1:16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 s="7">
        <v>0.12</v>
      </c>
      <c r="L63" t="s">
        <v>31</v>
      </c>
      <c r="M63" t="s">
        <v>19</v>
      </c>
      <c r="N63" t="s">
        <v>48</v>
      </c>
      <c r="O63" s="7">
        <f>الجدول1[[#This Row],[Discount]]*1</f>
        <v>0.12</v>
      </c>
      <c r="P63">
        <f>الجدول1[[#This Row],[Sales_Amount]]*(1-الجدول1[[#This Row],[Discount]])</f>
        <v>240.91759999999999</v>
      </c>
    </row>
    <row r="64" spans="1:16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 s="7">
        <v>0.06</v>
      </c>
      <c r="L64" t="s">
        <v>27</v>
      </c>
      <c r="M64" t="s">
        <v>22</v>
      </c>
      <c r="N64" t="s">
        <v>41</v>
      </c>
      <c r="O64" s="7">
        <f>الجدول1[[#This Row],[Discount]]*1</f>
        <v>0.06</v>
      </c>
      <c r="P64">
        <f>الجدول1[[#This Row],[Sales_Amount]]*(1-الجدول1[[#This Row],[Discount]])</f>
        <v>2823.5344</v>
      </c>
    </row>
    <row r="65" spans="1:16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 s="7">
        <v>0.22</v>
      </c>
      <c r="L65" t="s">
        <v>27</v>
      </c>
      <c r="M65" t="s">
        <v>22</v>
      </c>
      <c r="N65" t="s">
        <v>28</v>
      </c>
      <c r="O65" s="7">
        <f>الجدول1[[#This Row],[Discount]]*1</f>
        <v>0.22</v>
      </c>
      <c r="P65">
        <f>الجدول1[[#This Row],[Sales_Amount]]*(1-الجدول1[[#This Row],[Discount]])</f>
        <v>6048.1980000000003</v>
      </c>
    </row>
    <row r="66" spans="1:16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 s="7">
        <v>0.05</v>
      </c>
      <c r="L66" t="s">
        <v>18</v>
      </c>
      <c r="M66" t="s">
        <v>19</v>
      </c>
      <c r="N66" t="s">
        <v>40</v>
      </c>
      <c r="O66" s="7">
        <f>الجدول1[[#This Row],[Discount]]*1</f>
        <v>0.05</v>
      </c>
      <c r="P66">
        <f>الجدول1[[#This Row],[Sales_Amount]]*(1-الجدول1[[#This Row],[Discount]])</f>
        <v>4966.4195</v>
      </c>
    </row>
    <row r="67" spans="1:16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 s="7">
        <v>0.26</v>
      </c>
      <c r="L67" t="s">
        <v>31</v>
      </c>
      <c r="M67" t="s">
        <v>19</v>
      </c>
      <c r="N67" t="s">
        <v>52</v>
      </c>
      <c r="O67" s="7">
        <f>الجدول1[[#This Row],[Discount]]*1</f>
        <v>0.26</v>
      </c>
      <c r="P67">
        <f>الجدول1[[#This Row],[Sales_Amount]]*(1-الجدول1[[#This Row],[Discount]])</f>
        <v>2624.1509999999998</v>
      </c>
    </row>
    <row r="68" spans="1:16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 s="7">
        <v>0.15</v>
      </c>
      <c r="L68" t="s">
        <v>31</v>
      </c>
      <c r="M68" t="s">
        <v>22</v>
      </c>
      <c r="N68" t="s">
        <v>43</v>
      </c>
      <c r="O68" s="7">
        <f>الجدول1[[#This Row],[Discount]]*1</f>
        <v>0.15</v>
      </c>
      <c r="P68">
        <f>الجدول1[[#This Row],[Sales_Amount]]*(1-الجدول1[[#This Row],[Discount]])</f>
        <v>3213.1869999999999</v>
      </c>
    </row>
    <row r="69" spans="1:16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 s="7">
        <v>0.03</v>
      </c>
      <c r="L69" t="s">
        <v>27</v>
      </c>
      <c r="M69" t="s">
        <v>19</v>
      </c>
      <c r="N69" t="s">
        <v>50</v>
      </c>
      <c r="O69" s="7">
        <f>الجدول1[[#This Row],[Discount]]*1</f>
        <v>0.03</v>
      </c>
      <c r="P69">
        <f>الجدول1[[#This Row],[Sales_Amount]]*(1-الجدول1[[#This Row],[Discount]])</f>
        <v>109.998</v>
      </c>
    </row>
    <row r="70" spans="1:16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 s="7">
        <v>0.21</v>
      </c>
      <c r="L70" t="s">
        <v>27</v>
      </c>
      <c r="M70" t="s">
        <v>19</v>
      </c>
      <c r="N70" t="s">
        <v>50</v>
      </c>
      <c r="O70" s="7">
        <f>الجدول1[[#This Row],[Discount]]*1</f>
        <v>0.21</v>
      </c>
      <c r="P70">
        <f>الجدول1[[#This Row],[Sales_Amount]]*(1-الجدول1[[#This Row],[Discount]])</f>
        <v>2423.7437000000004</v>
      </c>
    </row>
    <row r="71" spans="1:16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 s="7">
        <v>0.16</v>
      </c>
      <c r="L71" t="s">
        <v>18</v>
      </c>
      <c r="M71" t="s">
        <v>19</v>
      </c>
      <c r="N71" t="s">
        <v>45</v>
      </c>
      <c r="O71" s="7">
        <f>الجدول1[[#This Row],[Discount]]*1</f>
        <v>0.16</v>
      </c>
      <c r="P71">
        <f>الجدول1[[#This Row],[Sales_Amount]]*(1-الجدول1[[#This Row],[Discount]])</f>
        <v>5459.949599999999</v>
      </c>
    </row>
    <row r="72" spans="1:16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 s="7">
        <v>0.09</v>
      </c>
      <c r="L72" t="s">
        <v>27</v>
      </c>
      <c r="M72" t="s">
        <v>22</v>
      </c>
      <c r="N72" t="s">
        <v>36</v>
      </c>
      <c r="O72" s="7">
        <f>الجدول1[[#This Row],[Discount]]*1</f>
        <v>0.09</v>
      </c>
      <c r="P72">
        <f>الجدول1[[#This Row],[Sales_Amount]]*(1-الجدول1[[#This Row],[Discount]])</f>
        <v>8867.5132000000012</v>
      </c>
    </row>
    <row r="73" spans="1:16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 s="7">
        <v>0.13</v>
      </c>
      <c r="L73" t="s">
        <v>18</v>
      </c>
      <c r="M73" t="s">
        <v>19</v>
      </c>
      <c r="N73" t="s">
        <v>40</v>
      </c>
      <c r="O73" s="7">
        <f>الجدول1[[#This Row],[Discount]]*1</f>
        <v>0.13</v>
      </c>
      <c r="P73">
        <f>الجدول1[[#This Row],[Sales_Amount]]*(1-الجدول1[[#This Row],[Discount]])</f>
        <v>7382.7329999999993</v>
      </c>
    </row>
    <row r="74" spans="1:16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 s="7">
        <v>0.09</v>
      </c>
      <c r="L74" t="s">
        <v>31</v>
      </c>
      <c r="M74" t="s">
        <v>22</v>
      </c>
      <c r="N74" t="s">
        <v>45</v>
      </c>
      <c r="O74" s="7">
        <f>الجدول1[[#This Row],[Discount]]*1</f>
        <v>0.09</v>
      </c>
      <c r="P74">
        <f>الجدول1[[#This Row],[Sales_Amount]]*(1-الجدول1[[#This Row],[Discount]])</f>
        <v>303.56689999999998</v>
      </c>
    </row>
    <row r="75" spans="1:16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 s="7">
        <v>0.08</v>
      </c>
      <c r="L75" t="s">
        <v>18</v>
      </c>
      <c r="M75" t="s">
        <v>22</v>
      </c>
      <c r="N75" t="s">
        <v>20</v>
      </c>
      <c r="O75" s="7">
        <f>الجدول1[[#This Row],[Discount]]*1</f>
        <v>0.08</v>
      </c>
      <c r="P75">
        <f>الجدول1[[#This Row],[Sales_Amount]]*(1-الجدول1[[#This Row],[Discount]])</f>
        <v>8276.09</v>
      </c>
    </row>
    <row r="76" spans="1:16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 s="7">
        <v>0.05</v>
      </c>
      <c r="L76" t="s">
        <v>27</v>
      </c>
      <c r="M76" t="s">
        <v>19</v>
      </c>
      <c r="N76" t="s">
        <v>32</v>
      </c>
      <c r="O76" s="7">
        <f>الجدول1[[#This Row],[Discount]]*1</f>
        <v>0.05</v>
      </c>
      <c r="P76">
        <f>الجدول1[[#This Row],[Sales_Amount]]*(1-الجدول1[[#This Row],[Discount]])</f>
        <v>7460.9769999999999</v>
      </c>
    </row>
    <row r="77" spans="1:16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 s="7">
        <v>0.11</v>
      </c>
      <c r="L77" t="s">
        <v>31</v>
      </c>
      <c r="M77" t="s">
        <v>22</v>
      </c>
      <c r="N77" t="s">
        <v>51</v>
      </c>
      <c r="O77" s="7">
        <f>الجدول1[[#This Row],[Discount]]*1</f>
        <v>0.11</v>
      </c>
      <c r="P77">
        <f>الجدول1[[#This Row],[Sales_Amount]]*(1-الجدول1[[#This Row],[Discount]])</f>
        <v>6964.8908000000001</v>
      </c>
    </row>
    <row r="78" spans="1:16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 s="7">
        <v>0.08</v>
      </c>
      <c r="L78" t="s">
        <v>18</v>
      </c>
      <c r="M78" t="s">
        <v>19</v>
      </c>
      <c r="N78" t="s">
        <v>39</v>
      </c>
      <c r="O78" s="7">
        <f>الجدول1[[#This Row],[Discount]]*1</f>
        <v>0.08</v>
      </c>
      <c r="P78">
        <f>الجدول1[[#This Row],[Sales_Amount]]*(1-الجدول1[[#This Row],[Discount]])</f>
        <v>4263.4272000000001</v>
      </c>
    </row>
    <row r="79" spans="1:16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 s="7">
        <v>0.21</v>
      </c>
      <c r="L79" t="s">
        <v>31</v>
      </c>
      <c r="M79" t="s">
        <v>19</v>
      </c>
      <c r="N79" t="s">
        <v>47</v>
      </c>
      <c r="O79" s="7">
        <f>الجدول1[[#This Row],[Discount]]*1</f>
        <v>0.21</v>
      </c>
      <c r="P79">
        <f>الجدول1[[#This Row],[Sales_Amount]]*(1-الجدول1[[#This Row],[Discount]])</f>
        <v>3191.7975000000001</v>
      </c>
    </row>
    <row r="80" spans="1:16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 s="7">
        <v>0.21</v>
      </c>
      <c r="L80" t="s">
        <v>18</v>
      </c>
      <c r="M80" t="s">
        <v>22</v>
      </c>
      <c r="N80" t="s">
        <v>23</v>
      </c>
      <c r="O80" s="7">
        <f>الجدول1[[#This Row],[Discount]]*1</f>
        <v>0.21</v>
      </c>
      <c r="P80">
        <f>الجدول1[[#This Row],[Sales_Amount]]*(1-الجدول1[[#This Row],[Discount]])</f>
        <v>2448.1073000000001</v>
      </c>
    </row>
    <row r="81" spans="1:16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 s="7">
        <v>0.15</v>
      </c>
      <c r="L81" t="s">
        <v>27</v>
      </c>
      <c r="M81" t="s">
        <v>22</v>
      </c>
      <c r="N81" t="s">
        <v>40</v>
      </c>
      <c r="O81" s="7">
        <f>الجدول1[[#This Row],[Discount]]*1</f>
        <v>0.15</v>
      </c>
      <c r="P81">
        <f>الجدول1[[#This Row],[Sales_Amount]]*(1-الجدول1[[#This Row],[Discount]])</f>
        <v>637.82299999999998</v>
      </c>
    </row>
    <row r="82" spans="1:16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 s="7">
        <v>0.23</v>
      </c>
      <c r="L82" t="s">
        <v>27</v>
      </c>
      <c r="M82" t="s">
        <v>22</v>
      </c>
      <c r="N82" t="s">
        <v>52</v>
      </c>
      <c r="O82" s="7">
        <f>الجدول1[[#This Row],[Discount]]*1</f>
        <v>0.23</v>
      </c>
      <c r="P82">
        <f>الجدول1[[#This Row],[Sales_Amount]]*(1-الجدول1[[#This Row],[Discount]])</f>
        <v>1816.8381000000002</v>
      </c>
    </row>
    <row r="83" spans="1:16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 s="7">
        <v>0.25</v>
      </c>
      <c r="L83" t="s">
        <v>31</v>
      </c>
      <c r="M83" t="s">
        <v>22</v>
      </c>
      <c r="N83" t="s">
        <v>53</v>
      </c>
      <c r="O83" s="7">
        <f>الجدول1[[#This Row],[Discount]]*1</f>
        <v>0.25</v>
      </c>
      <c r="P83">
        <f>الجدول1[[#This Row],[Sales_Amount]]*(1-الجدول1[[#This Row],[Discount]])</f>
        <v>1906.0350000000001</v>
      </c>
    </row>
    <row r="84" spans="1:16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 s="7">
        <v>0.17</v>
      </c>
      <c r="L84" t="s">
        <v>31</v>
      </c>
      <c r="M84" t="s">
        <v>22</v>
      </c>
      <c r="N84" t="s">
        <v>48</v>
      </c>
      <c r="O84" s="7">
        <f>الجدول1[[#This Row],[Discount]]*1</f>
        <v>0.17</v>
      </c>
      <c r="P84">
        <f>الجدول1[[#This Row],[Sales_Amount]]*(1-الجدول1[[#This Row],[Discount]])</f>
        <v>4060.6587999999997</v>
      </c>
    </row>
    <row r="85" spans="1:16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 s="7">
        <v>0.19</v>
      </c>
      <c r="L85" t="s">
        <v>31</v>
      </c>
      <c r="M85" t="s">
        <v>19</v>
      </c>
      <c r="N85" t="s">
        <v>41</v>
      </c>
      <c r="O85" s="7">
        <f>الجدول1[[#This Row],[Discount]]*1</f>
        <v>0.19</v>
      </c>
      <c r="P85">
        <f>الجدول1[[#This Row],[Sales_Amount]]*(1-الجدول1[[#This Row],[Discount]])</f>
        <v>6074.7570000000005</v>
      </c>
    </row>
    <row r="86" spans="1:16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 s="7">
        <v>0.08</v>
      </c>
      <c r="L86" t="s">
        <v>18</v>
      </c>
      <c r="M86" t="s">
        <v>22</v>
      </c>
      <c r="N86" t="s">
        <v>53</v>
      </c>
      <c r="O86" s="7">
        <f>الجدول1[[#This Row],[Discount]]*1</f>
        <v>0.08</v>
      </c>
      <c r="P86">
        <f>الجدول1[[#This Row],[Sales_Amount]]*(1-الجدول1[[#This Row],[Discount]])</f>
        <v>4407.4624000000003</v>
      </c>
    </row>
    <row r="87" spans="1:16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 s="7">
        <v>0.27</v>
      </c>
      <c r="L87" t="s">
        <v>27</v>
      </c>
      <c r="M87" t="s">
        <v>19</v>
      </c>
      <c r="N87" t="s">
        <v>48</v>
      </c>
      <c r="O87" s="7">
        <f>الجدول1[[#This Row],[Discount]]*1</f>
        <v>0.27</v>
      </c>
      <c r="P87">
        <f>الجدول1[[#This Row],[Sales_Amount]]*(1-الجدول1[[#This Row],[Discount]])</f>
        <v>491.04179999999997</v>
      </c>
    </row>
    <row r="88" spans="1:16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 s="7">
        <v>0.01</v>
      </c>
      <c r="L88" t="s">
        <v>31</v>
      </c>
      <c r="M88" t="s">
        <v>19</v>
      </c>
      <c r="N88" t="s">
        <v>43</v>
      </c>
      <c r="O88" s="7">
        <f>الجدول1[[#This Row],[Discount]]*1</f>
        <v>0.01</v>
      </c>
      <c r="P88">
        <f>الجدول1[[#This Row],[Sales_Amount]]*(1-الجدول1[[#This Row],[Discount]])</f>
        <v>9486.2988000000005</v>
      </c>
    </row>
    <row r="89" spans="1:16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 s="7">
        <v>0.1</v>
      </c>
      <c r="L89" t="s">
        <v>31</v>
      </c>
      <c r="M89" t="s">
        <v>22</v>
      </c>
      <c r="N89" t="s">
        <v>52</v>
      </c>
      <c r="O89" s="7">
        <f>الجدول1[[#This Row],[Discount]]*1</f>
        <v>0.1</v>
      </c>
      <c r="P89">
        <f>الجدول1[[#This Row],[Sales_Amount]]*(1-الجدول1[[#This Row],[Discount]])</f>
        <v>8489.6729999999989</v>
      </c>
    </row>
    <row r="90" spans="1:16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 s="7">
        <v>0.22</v>
      </c>
      <c r="L90" t="s">
        <v>31</v>
      </c>
      <c r="M90" t="s">
        <v>22</v>
      </c>
      <c r="N90" t="s">
        <v>53</v>
      </c>
      <c r="O90" s="7">
        <f>الجدول1[[#This Row],[Discount]]*1</f>
        <v>0.22</v>
      </c>
      <c r="P90">
        <f>الجدول1[[#This Row],[Sales_Amount]]*(1-الجدول1[[#This Row],[Discount]])</f>
        <v>6141.2364000000007</v>
      </c>
    </row>
    <row r="91" spans="1:16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 s="7">
        <v>0.02</v>
      </c>
      <c r="L91" t="s">
        <v>18</v>
      </c>
      <c r="M91" t="s">
        <v>22</v>
      </c>
      <c r="N91" t="s">
        <v>28</v>
      </c>
      <c r="O91" s="7">
        <f>الجدول1[[#This Row],[Discount]]*1</f>
        <v>0.02</v>
      </c>
      <c r="P91">
        <f>الجدول1[[#This Row],[Sales_Amount]]*(1-الجدول1[[#This Row],[Discount]])</f>
        <v>9715.8670000000002</v>
      </c>
    </row>
    <row r="92" spans="1:16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 s="7">
        <v>0.05</v>
      </c>
      <c r="L92" t="s">
        <v>31</v>
      </c>
      <c r="M92" t="s">
        <v>22</v>
      </c>
      <c r="N92" t="s">
        <v>46</v>
      </c>
      <c r="O92" s="7">
        <f>الجدول1[[#This Row],[Discount]]*1</f>
        <v>0.05</v>
      </c>
      <c r="P92">
        <f>الجدول1[[#This Row],[Sales_Amount]]*(1-الجدول1[[#This Row],[Discount]])</f>
        <v>5215.8609999999999</v>
      </c>
    </row>
    <row r="93" spans="1:16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 s="7">
        <v>0.18</v>
      </c>
      <c r="L93" t="s">
        <v>31</v>
      </c>
      <c r="M93" t="s">
        <v>22</v>
      </c>
      <c r="N93" t="s">
        <v>50</v>
      </c>
      <c r="O93" s="7">
        <f>الجدول1[[#This Row],[Discount]]*1</f>
        <v>0.18</v>
      </c>
      <c r="P93">
        <f>الجدول1[[#This Row],[Sales_Amount]]*(1-الجدول1[[#This Row],[Discount]])</f>
        <v>7897.7562000000007</v>
      </c>
    </row>
    <row r="94" spans="1:16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 s="7">
        <v>0.17</v>
      </c>
      <c r="L94" t="s">
        <v>18</v>
      </c>
      <c r="M94" t="s">
        <v>19</v>
      </c>
      <c r="N94" t="s">
        <v>48</v>
      </c>
      <c r="O94" s="7">
        <f>الجدول1[[#This Row],[Discount]]*1</f>
        <v>0.17</v>
      </c>
      <c r="P94">
        <f>الجدول1[[#This Row],[Sales_Amount]]*(1-الجدول1[[#This Row],[Discount]])</f>
        <v>704.24669999999992</v>
      </c>
    </row>
    <row r="95" spans="1:16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 s="7">
        <v>0.22</v>
      </c>
      <c r="L95" t="s">
        <v>18</v>
      </c>
      <c r="M95" t="s">
        <v>19</v>
      </c>
      <c r="N95" t="s">
        <v>46</v>
      </c>
      <c r="O95" s="7">
        <f>الجدول1[[#This Row],[Discount]]*1</f>
        <v>0.22</v>
      </c>
      <c r="P95">
        <f>الجدول1[[#This Row],[Sales_Amount]]*(1-الجدول1[[#This Row],[Discount]])</f>
        <v>2901.7871999999998</v>
      </c>
    </row>
    <row r="96" spans="1:16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 s="7">
        <v>0.24</v>
      </c>
      <c r="L96" t="s">
        <v>31</v>
      </c>
      <c r="M96" t="s">
        <v>19</v>
      </c>
      <c r="N96" t="s">
        <v>36</v>
      </c>
      <c r="O96" s="7">
        <f>الجدول1[[#This Row],[Discount]]*1</f>
        <v>0.24</v>
      </c>
      <c r="P96">
        <f>الجدول1[[#This Row],[Sales_Amount]]*(1-الجدول1[[#This Row],[Discount]])</f>
        <v>1771.7652</v>
      </c>
    </row>
    <row r="97" spans="1:16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 s="7">
        <v>0.04</v>
      </c>
      <c r="L97" t="s">
        <v>31</v>
      </c>
      <c r="M97" t="s">
        <v>22</v>
      </c>
      <c r="N97" t="s">
        <v>44</v>
      </c>
      <c r="O97" s="7">
        <f>الجدول1[[#This Row],[Discount]]*1</f>
        <v>0.04</v>
      </c>
      <c r="P97">
        <f>الجدول1[[#This Row],[Sales_Amount]]*(1-الجدول1[[#This Row],[Discount]])</f>
        <v>1957.1999999999998</v>
      </c>
    </row>
    <row r="98" spans="1:16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 s="7">
        <v>0.01</v>
      </c>
      <c r="L98" t="s">
        <v>18</v>
      </c>
      <c r="M98" t="s">
        <v>22</v>
      </c>
      <c r="N98" t="s">
        <v>23</v>
      </c>
      <c r="O98" s="7">
        <f>الجدول1[[#This Row],[Discount]]*1</f>
        <v>0.01</v>
      </c>
      <c r="P98">
        <f>الجدول1[[#This Row],[Sales_Amount]]*(1-الجدول1[[#This Row],[Discount]])</f>
        <v>1479.0105000000001</v>
      </c>
    </row>
    <row r="99" spans="1:16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 s="7">
        <v>0.21</v>
      </c>
      <c r="L99" t="s">
        <v>27</v>
      </c>
      <c r="M99" t="s">
        <v>19</v>
      </c>
      <c r="N99" t="s">
        <v>43</v>
      </c>
      <c r="O99" s="7">
        <f>الجدول1[[#This Row],[Discount]]*1</f>
        <v>0.21</v>
      </c>
      <c r="P99">
        <f>الجدول1[[#This Row],[Sales_Amount]]*(1-الجدول1[[#This Row],[Discount]])</f>
        <v>4946.9009999999998</v>
      </c>
    </row>
    <row r="100" spans="1:16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 s="7">
        <v>0.09</v>
      </c>
      <c r="L100" t="s">
        <v>18</v>
      </c>
      <c r="M100" t="s">
        <v>22</v>
      </c>
      <c r="N100" t="s">
        <v>32</v>
      </c>
      <c r="O100" s="7">
        <f>الجدول1[[#This Row],[Discount]]*1</f>
        <v>0.09</v>
      </c>
      <c r="P100">
        <f>الجدول1[[#This Row],[Sales_Amount]]*(1-الجدول1[[#This Row],[Discount]])</f>
        <v>7129.9319000000005</v>
      </c>
    </row>
    <row r="101" spans="1:16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 s="7">
        <v>0.19</v>
      </c>
      <c r="L101" t="s">
        <v>27</v>
      </c>
      <c r="M101" t="s">
        <v>22</v>
      </c>
      <c r="N101" t="s">
        <v>39</v>
      </c>
      <c r="O101" s="7">
        <f>الجدول1[[#This Row],[Discount]]*1</f>
        <v>0.19</v>
      </c>
      <c r="P101">
        <f>الجدول1[[#This Row],[Sales_Amount]]*(1-الجدول1[[#This Row],[Discount]])</f>
        <v>4718.3715000000002</v>
      </c>
    </row>
    <row r="102" spans="1:16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 s="7">
        <v>0.05</v>
      </c>
      <c r="L102" t="s">
        <v>31</v>
      </c>
      <c r="M102" t="s">
        <v>22</v>
      </c>
      <c r="N102" t="s">
        <v>51</v>
      </c>
      <c r="O102" s="7">
        <f>الجدول1[[#This Row],[Discount]]*1</f>
        <v>0.05</v>
      </c>
      <c r="P102">
        <f>الجدول1[[#This Row],[Sales_Amount]]*(1-الجدول1[[#This Row],[Discount]])</f>
        <v>1477.1835000000001</v>
      </c>
    </row>
    <row r="103" spans="1:16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 s="7">
        <v>0.14000000000000001</v>
      </c>
      <c r="L103" t="s">
        <v>31</v>
      </c>
      <c r="M103" t="s">
        <v>19</v>
      </c>
      <c r="N103" t="s">
        <v>53</v>
      </c>
      <c r="O103" s="7">
        <f>الجدول1[[#This Row],[Discount]]*1</f>
        <v>0.14000000000000001</v>
      </c>
      <c r="P103">
        <f>الجدول1[[#This Row],[Sales_Amount]]*(1-الجدول1[[#This Row],[Discount]])</f>
        <v>6991.9117999999999</v>
      </c>
    </row>
    <row r="104" spans="1:16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 s="7">
        <v>0.15</v>
      </c>
      <c r="L104" t="s">
        <v>27</v>
      </c>
      <c r="M104" t="s">
        <v>22</v>
      </c>
      <c r="N104" t="s">
        <v>23</v>
      </c>
      <c r="O104" s="7">
        <f>الجدول1[[#This Row],[Discount]]*1</f>
        <v>0.15</v>
      </c>
      <c r="P104">
        <f>الجدول1[[#This Row],[Sales_Amount]]*(1-الجدول1[[#This Row],[Discount]])</f>
        <v>5436.5574999999999</v>
      </c>
    </row>
    <row r="105" spans="1:16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 s="7">
        <v>0.18</v>
      </c>
      <c r="L105" t="s">
        <v>18</v>
      </c>
      <c r="M105" t="s">
        <v>19</v>
      </c>
      <c r="N105" t="s">
        <v>28</v>
      </c>
      <c r="O105" s="7">
        <f>الجدول1[[#This Row],[Discount]]*1</f>
        <v>0.18</v>
      </c>
      <c r="P105">
        <f>الجدول1[[#This Row],[Sales_Amount]]*(1-الجدول1[[#This Row],[Discount]])</f>
        <v>3233.1288000000004</v>
      </c>
    </row>
    <row r="106" spans="1:16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 s="7">
        <v>0.15</v>
      </c>
      <c r="L106" t="s">
        <v>31</v>
      </c>
      <c r="M106" t="s">
        <v>22</v>
      </c>
      <c r="N106" t="s">
        <v>50</v>
      </c>
      <c r="O106" s="7">
        <f>الجدول1[[#This Row],[Discount]]*1</f>
        <v>0.15</v>
      </c>
      <c r="P106">
        <f>الجدول1[[#This Row],[Sales_Amount]]*(1-الجدول1[[#This Row],[Discount]])</f>
        <v>5757.8064999999997</v>
      </c>
    </row>
    <row r="107" spans="1:16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 s="7">
        <v>0.15</v>
      </c>
      <c r="L107" t="s">
        <v>27</v>
      </c>
      <c r="M107" t="s">
        <v>22</v>
      </c>
      <c r="N107" t="s">
        <v>48</v>
      </c>
      <c r="O107" s="7">
        <f>الجدول1[[#This Row],[Discount]]*1</f>
        <v>0.15</v>
      </c>
      <c r="P107">
        <f>الجدول1[[#This Row],[Sales_Amount]]*(1-الجدول1[[#This Row],[Discount]])</f>
        <v>2272.1010000000001</v>
      </c>
    </row>
    <row r="108" spans="1:16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 s="7">
        <v>0.1</v>
      </c>
      <c r="L108" t="s">
        <v>18</v>
      </c>
      <c r="M108" t="s">
        <v>19</v>
      </c>
      <c r="N108" t="s">
        <v>28</v>
      </c>
      <c r="O108" s="7">
        <f>الجدول1[[#This Row],[Discount]]*1</f>
        <v>0.1</v>
      </c>
      <c r="P108">
        <f>الجدول1[[#This Row],[Sales_Amount]]*(1-الجدول1[[#This Row],[Discount]])</f>
        <v>3165.6600000000003</v>
      </c>
    </row>
    <row r="109" spans="1:16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 s="7">
        <v>0.02</v>
      </c>
      <c r="L109" t="s">
        <v>27</v>
      </c>
      <c r="M109" t="s">
        <v>22</v>
      </c>
      <c r="N109" t="s">
        <v>46</v>
      </c>
      <c r="O109" s="7">
        <f>الجدول1[[#This Row],[Discount]]*1</f>
        <v>0.02</v>
      </c>
      <c r="P109">
        <f>الجدول1[[#This Row],[Sales_Amount]]*(1-الجدول1[[#This Row],[Discount]])</f>
        <v>8999.4477999999999</v>
      </c>
    </row>
    <row r="110" spans="1:16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 s="7">
        <v>0.03</v>
      </c>
      <c r="L110" t="s">
        <v>18</v>
      </c>
      <c r="M110" t="s">
        <v>22</v>
      </c>
      <c r="N110" t="s">
        <v>32</v>
      </c>
      <c r="O110" s="7">
        <f>الجدول1[[#This Row],[Discount]]*1</f>
        <v>0.03</v>
      </c>
      <c r="P110">
        <f>الجدول1[[#This Row],[Sales_Amount]]*(1-الجدول1[[#This Row],[Discount]])</f>
        <v>2886.7102999999997</v>
      </c>
    </row>
    <row r="111" spans="1:16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 s="7">
        <v>0.13</v>
      </c>
      <c r="L111" t="s">
        <v>18</v>
      </c>
      <c r="M111" t="s">
        <v>22</v>
      </c>
      <c r="N111" t="s">
        <v>50</v>
      </c>
      <c r="O111" s="7">
        <f>الجدول1[[#This Row],[Discount]]*1</f>
        <v>0.13</v>
      </c>
      <c r="P111">
        <f>الجدول1[[#This Row],[Sales_Amount]]*(1-الجدول1[[#This Row],[Discount]])</f>
        <v>4135.0056000000004</v>
      </c>
    </row>
    <row r="112" spans="1:16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 s="7">
        <v>0.11</v>
      </c>
      <c r="L112" t="s">
        <v>18</v>
      </c>
      <c r="M112" t="s">
        <v>19</v>
      </c>
      <c r="N112" t="s">
        <v>23</v>
      </c>
      <c r="O112" s="7">
        <f>الجدول1[[#This Row],[Discount]]*1</f>
        <v>0.11</v>
      </c>
      <c r="P112">
        <f>الجدول1[[#This Row],[Sales_Amount]]*(1-الجدول1[[#This Row],[Discount]])</f>
        <v>7932.0360000000001</v>
      </c>
    </row>
    <row r="113" spans="1:16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 s="7">
        <v>0.15</v>
      </c>
      <c r="L113" t="s">
        <v>18</v>
      </c>
      <c r="M113" t="s">
        <v>22</v>
      </c>
      <c r="N113" t="s">
        <v>40</v>
      </c>
      <c r="O113" s="7">
        <f>الجدول1[[#This Row],[Discount]]*1</f>
        <v>0.15</v>
      </c>
      <c r="P113">
        <f>الجدول1[[#This Row],[Sales_Amount]]*(1-الجدول1[[#This Row],[Discount]])</f>
        <v>6040.4739999999993</v>
      </c>
    </row>
    <row r="114" spans="1:16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 s="7">
        <v>0.09</v>
      </c>
      <c r="L114" t="s">
        <v>27</v>
      </c>
      <c r="M114" t="s">
        <v>22</v>
      </c>
      <c r="N114" t="s">
        <v>49</v>
      </c>
      <c r="O114" s="7">
        <f>الجدول1[[#This Row],[Discount]]*1</f>
        <v>0.09</v>
      </c>
      <c r="P114">
        <f>الجدول1[[#This Row],[Sales_Amount]]*(1-الجدول1[[#This Row],[Discount]])</f>
        <v>651.38709999999992</v>
      </c>
    </row>
    <row r="115" spans="1:16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 s="7">
        <v>0.21</v>
      </c>
      <c r="L115" t="s">
        <v>27</v>
      </c>
      <c r="M115" t="s">
        <v>22</v>
      </c>
      <c r="N115" t="s">
        <v>41</v>
      </c>
      <c r="O115" s="7">
        <f>الجدول1[[#This Row],[Discount]]*1</f>
        <v>0.21</v>
      </c>
      <c r="P115">
        <f>الجدول1[[#This Row],[Sales_Amount]]*(1-الجدول1[[#This Row],[Discount]])</f>
        <v>1231.057</v>
      </c>
    </row>
    <row r="116" spans="1:16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 s="7">
        <v>0.26</v>
      </c>
      <c r="L116" t="s">
        <v>27</v>
      </c>
      <c r="M116" t="s">
        <v>22</v>
      </c>
      <c r="N116" t="s">
        <v>41</v>
      </c>
      <c r="O116" s="7">
        <f>الجدول1[[#This Row],[Discount]]*1</f>
        <v>0.26</v>
      </c>
      <c r="P116">
        <f>الجدول1[[#This Row],[Sales_Amount]]*(1-الجدول1[[#This Row],[Discount]])</f>
        <v>131.4462</v>
      </c>
    </row>
    <row r="117" spans="1:16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 s="7">
        <v>0.09</v>
      </c>
      <c r="L117" t="s">
        <v>27</v>
      </c>
      <c r="M117" t="s">
        <v>22</v>
      </c>
      <c r="N117" t="s">
        <v>32</v>
      </c>
      <c r="O117" s="7">
        <f>الجدول1[[#This Row],[Discount]]*1</f>
        <v>0.09</v>
      </c>
      <c r="P117">
        <f>الجدول1[[#This Row],[Sales_Amount]]*(1-الجدول1[[#This Row],[Discount]])</f>
        <v>5774.9783000000007</v>
      </c>
    </row>
    <row r="118" spans="1:16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 s="7">
        <v>0.06</v>
      </c>
      <c r="L118" t="s">
        <v>27</v>
      </c>
      <c r="M118" t="s">
        <v>19</v>
      </c>
      <c r="N118" t="s">
        <v>43</v>
      </c>
      <c r="O118" s="7">
        <f>الجدول1[[#This Row],[Discount]]*1</f>
        <v>0.06</v>
      </c>
      <c r="P118">
        <f>الجدول1[[#This Row],[Sales_Amount]]*(1-الجدول1[[#This Row],[Discount]])</f>
        <v>4260.0518000000002</v>
      </c>
    </row>
    <row r="119" spans="1:16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 s="7">
        <v>0.03</v>
      </c>
      <c r="L119" t="s">
        <v>18</v>
      </c>
      <c r="M119" t="s">
        <v>19</v>
      </c>
      <c r="N119" t="s">
        <v>32</v>
      </c>
      <c r="O119" s="7">
        <f>الجدول1[[#This Row],[Discount]]*1</f>
        <v>0.03</v>
      </c>
      <c r="P119">
        <f>الجدول1[[#This Row],[Sales_Amount]]*(1-الجدول1[[#This Row],[Discount]])</f>
        <v>1386.4404</v>
      </c>
    </row>
    <row r="120" spans="1:16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 s="7">
        <v>0.18</v>
      </c>
      <c r="L120" t="s">
        <v>31</v>
      </c>
      <c r="M120" t="s">
        <v>22</v>
      </c>
      <c r="N120" t="s">
        <v>36</v>
      </c>
      <c r="O120" s="7">
        <f>الجدول1[[#This Row],[Discount]]*1</f>
        <v>0.18</v>
      </c>
      <c r="P120">
        <f>الجدول1[[#This Row],[Sales_Amount]]*(1-الجدول1[[#This Row],[Discount]])</f>
        <v>7858.5110000000004</v>
      </c>
    </row>
    <row r="121" spans="1:16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 s="7">
        <v>0.13</v>
      </c>
      <c r="L121" t="s">
        <v>31</v>
      </c>
      <c r="M121" t="s">
        <v>22</v>
      </c>
      <c r="N121" t="s">
        <v>32</v>
      </c>
      <c r="O121" s="7">
        <f>الجدول1[[#This Row],[Discount]]*1</f>
        <v>0.13</v>
      </c>
      <c r="P121">
        <f>الجدول1[[#This Row],[Sales_Amount]]*(1-الجدول1[[#This Row],[Discount]])</f>
        <v>4648.9580999999998</v>
      </c>
    </row>
    <row r="122" spans="1:16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 s="7">
        <v>0.06</v>
      </c>
      <c r="L122" t="s">
        <v>27</v>
      </c>
      <c r="M122" t="s">
        <v>19</v>
      </c>
      <c r="N122" t="s">
        <v>23</v>
      </c>
      <c r="O122" s="7">
        <f>الجدول1[[#This Row],[Discount]]*1</f>
        <v>0.06</v>
      </c>
      <c r="P122">
        <f>الجدول1[[#This Row],[Sales_Amount]]*(1-الجدول1[[#This Row],[Discount]])</f>
        <v>2345.0555999999997</v>
      </c>
    </row>
    <row r="123" spans="1:16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 s="7">
        <v>0.2</v>
      </c>
      <c r="L123" t="s">
        <v>27</v>
      </c>
      <c r="M123" t="s">
        <v>22</v>
      </c>
      <c r="N123" t="s">
        <v>20</v>
      </c>
      <c r="O123" s="7">
        <f>الجدول1[[#This Row],[Discount]]*1</f>
        <v>0.2</v>
      </c>
      <c r="P123">
        <f>الجدول1[[#This Row],[Sales_Amount]]*(1-الجدول1[[#This Row],[Discount]])</f>
        <v>4044.7839999999997</v>
      </c>
    </row>
    <row r="124" spans="1:16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 s="7">
        <v>0.04</v>
      </c>
      <c r="L124" t="s">
        <v>31</v>
      </c>
      <c r="M124" t="s">
        <v>22</v>
      </c>
      <c r="N124" t="s">
        <v>52</v>
      </c>
      <c r="O124" s="7">
        <f>الجدول1[[#This Row],[Discount]]*1</f>
        <v>0.04</v>
      </c>
      <c r="P124">
        <f>الجدول1[[#This Row],[Sales_Amount]]*(1-الجدول1[[#This Row],[Discount]])</f>
        <v>6555.1103999999996</v>
      </c>
    </row>
    <row r="125" spans="1:16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 s="7">
        <v>0.17</v>
      </c>
      <c r="L125" t="s">
        <v>18</v>
      </c>
      <c r="M125" t="s">
        <v>22</v>
      </c>
      <c r="N125" t="s">
        <v>32</v>
      </c>
      <c r="O125" s="7">
        <f>الجدول1[[#This Row],[Discount]]*1</f>
        <v>0.17</v>
      </c>
      <c r="P125">
        <f>الجدول1[[#This Row],[Sales_Amount]]*(1-الجدول1[[#This Row],[Discount]])</f>
        <v>709.45909999999992</v>
      </c>
    </row>
    <row r="126" spans="1:16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 s="7">
        <v>0.16</v>
      </c>
      <c r="L126" t="s">
        <v>27</v>
      </c>
      <c r="M126" t="s">
        <v>22</v>
      </c>
      <c r="N126" t="s">
        <v>52</v>
      </c>
      <c r="O126" s="7">
        <f>الجدول1[[#This Row],[Discount]]*1</f>
        <v>0.16</v>
      </c>
      <c r="P126">
        <f>الجدول1[[#This Row],[Sales_Amount]]*(1-الجدول1[[#This Row],[Discount]])</f>
        <v>2368.4387999999999</v>
      </c>
    </row>
    <row r="127" spans="1:16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 s="7">
        <v>0.22</v>
      </c>
      <c r="L127" t="s">
        <v>18</v>
      </c>
      <c r="M127" t="s">
        <v>22</v>
      </c>
      <c r="N127" t="s">
        <v>50</v>
      </c>
      <c r="O127" s="7">
        <f>الجدول1[[#This Row],[Discount]]*1</f>
        <v>0.22</v>
      </c>
      <c r="P127">
        <f>الجدول1[[#This Row],[Sales_Amount]]*(1-الجدول1[[#This Row],[Discount]])</f>
        <v>6309.3888000000006</v>
      </c>
    </row>
    <row r="128" spans="1:16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 s="7">
        <v>0.02</v>
      </c>
      <c r="L128" t="s">
        <v>31</v>
      </c>
      <c r="M128" t="s">
        <v>22</v>
      </c>
      <c r="N128" t="s">
        <v>44</v>
      </c>
      <c r="O128" s="7">
        <f>الجدول1[[#This Row],[Discount]]*1</f>
        <v>0.02</v>
      </c>
      <c r="P128">
        <f>الجدول1[[#This Row],[Sales_Amount]]*(1-الجدول1[[#This Row],[Discount]])</f>
        <v>4557.6664000000001</v>
      </c>
    </row>
    <row r="129" spans="1:16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 s="7">
        <v>0.27</v>
      </c>
      <c r="L129" t="s">
        <v>31</v>
      </c>
      <c r="M129" t="s">
        <v>22</v>
      </c>
      <c r="N129" t="s">
        <v>52</v>
      </c>
      <c r="O129" s="7">
        <f>الجدول1[[#This Row],[Discount]]*1</f>
        <v>0.27</v>
      </c>
      <c r="P129">
        <f>الجدول1[[#This Row],[Sales_Amount]]*(1-الجدول1[[#This Row],[Discount]])</f>
        <v>4023.1102999999998</v>
      </c>
    </row>
    <row r="130" spans="1:16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 s="7">
        <v>0.21</v>
      </c>
      <c r="L130" t="s">
        <v>27</v>
      </c>
      <c r="M130" t="s">
        <v>22</v>
      </c>
      <c r="N130" t="s">
        <v>45</v>
      </c>
      <c r="O130" s="7">
        <f>الجدول1[[#This Row],[Discount]]*1</f>
        <v>0.21</v>
      </c>
      <c r="P130">
        <f>الجدول1[[#This Row],[Sales_Amount]]*(1-الجدول1[[#This Row],[Discount]])</f>
        <v>3464.0552000000002</v>
      </c>
    </row>
    <row r="131" spans="1:16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 s="7">
        <v>0.06</v>
      </c>
      <c r="L131" t="s">
        <v>18</v>
      </c>
      <c r="M131" t="s">
        <v>19</v>
      </c>
      <c r="N131" t="s">
        <v>51</v>
      </c>
      <c r="O131" s="7">
        <f>الجدول1[[#This Row],[Discount]]*1</f>
        <v>0.06</v>
      </c>
      <c r="P131">
        <f>الجدول1[[#This Row],[Sales_Amount]]*(1-الجدول1[[#This Row],[Discount]])</f>
        <v>502.53339999999997</v>
      </c>
    </row>
    <row r="132" spans="1:16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 s="7">
        <v>0.06</v>
      </c>
      <c r="L132" t="s">
        <v>27</v>
      </c>
      <c r="M132" t="s">
        <v>19</v>
      </c>
      <c r="N132" t="s">
        <v>51</v>
      </c>
      <c r="O132" s="7">
        <f>الجدول1[[#This Row],[Discount]]*1</f>
        <v>0.06</v>
      </c>
      <c r="P132">
        <f>الجدول1[[#This Row],[Sales_Amount]]*(1-الجدول1[[#This Row],[Discount]])</f>
        <v>1636.4648</v>
      </c>
    </row>
    <row r="133" spans="1:16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 s="7">
        <v>0.13</v>
      </c>
      <c r="L133" t="s">
        <v>31</v>
      </c>
      <c r="M133" t="s">
        <v>22</v>
      </c>
      <c r="N133" t="s">
        <v>53</v>
      </c>
      <c r="O133" s="7">
        <f>الجدول1[[#This Row],[Discount]]*1</f>
        <v>0.13</v>
      </c>
      <c r="P133">
        <f>الجدول1[[#This Row],[Sales_Amount]]*(1-الجدول1[[#This Row],[Discount]])</f>
        <v>3924.4481999999998</v>
      </c>
    </row>
    <row r="134" spans="1:16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 s="7">
        <v>0.25</v>
      </c>
      <c r="L134" t="s">
        <v>18</v>
      </c>
      <c r="M134" t="s">
        <v>22</v>
      </c>
      <c r="N134" t="s">
        <v>48</v>
      </c>
      <c r="O134" s="7">
        <f>الجدول1[[#This Row],[Discount]]*1</f>
        <v>0.25</v>
      </c>
      <c r="P134">
        <f>الجدول1[[#This Row],[Sales_Amount]]*(1-الجدول1[[#This Row],[Discount]])</f>
        <v>1628.2049999999999</v>
      </c>
    </row>
    <row r="135" spans="1:16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 s="7">
        <v>0.25</v>
      </c>
      <c r="L135" t="s">
        <v>27</v>
      </c>
      <c r="M135" t="s">
        <v>22</v>
      </c>
      <c r="N135" t="s">
        <v>39</v>
      </c>
      <c r="O135" s="7">
        <f>الجدول1[[#This Row],[Discount]]*1</f>
        <v>0.25</v>
      </c>
      <c r="P135">
        <f>الجدول1[[#This Row],[Sales_Amount]]*(1-الجدول1[[#This Row],[Discount]])</f>
        <v>446.09249999999997</v>
      </c>
    </row>
    <row r="136" spans="1:16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 s="7">
        <v>0.16</v>
      </c>
      <c r="L136" t="s">
        <v>27</v>
      </c>
      <c r="M136" t="s">
        <v>22</v>
      </c>
      <c r="N136" t="s">
        <v>52</v>
      </c>
      <c r="O136" s="7">
        <f>الجدول1[[#This Row],[Discount]]*1</f>
        <v>0.16</v>
      </c>
      <c r="P136">
        <f>الجدول1[[#This Row],[Sales_Amount]]*(1-الجدول1[[#This Row],[Discount]])</f>
        <v>7099.7891999999993</v>
      </c>
    </row>
    <row r="137" spans="1:16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 s="7">
        <v>0.26</v>
      </c>
      <c r="L137" t="s">
        <v>27</v>
      </c>
      <c r="M137" t="s">
        <v>19</v>
      </c>
      <c r="N137" t="s">
        <v>20</v>
      </c>
      <c r="O137" s="7">
        <f>الجدول1[[#This Row],[Discount]]*1</f>
        <v>0.26</v>
      </c>
      <c r="P137">
        <f>الجدول1[[#This Row],[Sales_Amount]]*(1-الجدول1[[#This Row],[Discount]])</f>
        <v>7262.2194</v>
      </c>
    </row>
    <row r="138" spans="1:16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 s="7">
        <v>0</v>
      </c>
      <c r="L138" t="s">
        <v>31</v>
      </c>
      <c r="M138" t="s">
        <v>19</v>
      </c>
      <c r="N138" t="s">
        <v>50</v>
      </c>
      <c r="O138" s="7">
        <f>الجدول1[[#This Row],[Discount]]*1</f>
        <v>0</v>
      </c>
      <c r="P138">
        <f>الجدول1[[#This Row],[Sales_Amount]]*(1-الجدول1[[#This Row],[Discount]])</f>
        <v>7952.11</v>
      </c>
    </row>
    <row r="139" spans="1:16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 s="7">
        <v>0.01</v>
      </c>
      <c r="L139" t="s">
        <v>27</v>
      </c>
      <c r="M139" t="s">
        <v>19</v>
      </c>
      <c r="N139" t="s">
        <v>23</v>
      </c>
      <c r="O139" s="7">
        <f>الجدول1[[#This Row],[Discount]]*1</f>
        <v>0.01</v>
      </c>
      <c r="P139">
        <f>الجدول1[[#This Row],[Sales_Amount]]*(1-الجدول1[[#This Row],[Discount]])</f>
        <v>8466.9452999999994</v>
      </c>
    </row>
    <row r="140" spans="1:16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 s="7">
        <v>0.27</v>
      </c>
      <c r="L140" t="s">
        <v>18</v>
      </c>
      <c r="M140" t="s">
        <v>19</v>
      </c>
      <c r="N140" t="s">
        <v>46</v>
      </c>
      <c r="O140" s="7">
        <f>الجدول1[[#This Row],[Discount]]*1</f>
        <v>0.27</v>
      </c>
      <c r="P140">
        <f>الجدول1[[#This Row],[Sales_Amount]]*(1-الجدول1[[#This Row],[Discount]])</f>
        <v>1821.7661000000001</v>
      </c>
    </row>
    <row r="141" spans="1:16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 s="7">
        <v>0.23</v>
      </c>
      <c r="L141" t="s">
        <v>27</v>
      </c>
      <c r="M141" t="s">
        <v>22</v>
      </c>
      <c r="N141" t="s">
        <v>49</v>
      </c>
      <c r="O141" s="7">
        <f>الجدول1[[#This Row],[Discount]]*1</f>
        <v>0.23</v>
      </c>
      <c r="P141">
        <f>الجدول1[[#This Row],[Sales_Amount]]*(1-الجدول1[[#This Row],[Discount]])</f>
        <v>7399.8616999999995</v>
      </c>
    </row>
    <row r="142" spans="1:16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 s="7">
        <v>0.14000000000000001</v>
      </c>
      <c r="L142" t="s">
        <v>31</v>
      </c>
      <c r="M142" t="s">
        <v>22</v>
      </c>
      <c r="N142" t="s">
        <v>51</v>
      </c>
      <c r="O142" s="7">
        <f>الجدول1[[#This Row],[Discount]]*1</f>
        <v>0.14000000000000001</v>
      </c>
      <c r="P142">
        <f>الجدول1[[#This Row],[Sales_Amount]]*(1-الجدول1[[#This Row],[Discount]])</f>
        <v>1762.6215999999999</v>
      </c>
    </row>
    <row r="143" spans="1:16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 s="7">
        <v>0.23</v>
      </c>
      <c r="L143" t="s">
        <v>27</v>
      </c>
      <c r="M143" t="s">
        <v>22</v>
      </c>
      <c r="N143" t="s">
        <v>52</v>
      </c>
      <c r="O143" s="7">
        <f>الجدول1[[#This Row],[Discount]]*1</f>
        <v>0.23</v>
      </c>
      <c r="P143">
        <f>الجدول1[[#This Row],[Sales_Amount]]*(1-الجدول1[[#This Row],[Discount]])</f>
        <v>7329.7532000000001</v>
      </c>
    </row>
    <row r="144" spans="1:16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 s="7">
        <v>0.28999999999999998</v>
      </c>
      <c r="L144" t="s">
        <v>31</v>
      </c>
      <c r="M144" t="s">
        <v>19</v>
      </c>
      <c r="N144" t="s">
        <v>52</v>
      </c>
      <c r="O144" s="7">
        <f>الجدول1[[#This Row],[Discount]]*1</f>
        <v>0.28999999999999998</v>
      </c>
      <c r="P144">
        <f>الجدول1[[#This Row],[Sales_Amount]]*(1-الجدول1[[#This Row],[Discount]])</f>
        <v>7063.5840999999991</v>
      </c>
    </row>
    <row r="145" spans="1:16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 s="7">
        <v>0.23</v>
      </c>
      <c r="L145" t="s">
        <v>31</v>
      </c>
      <c r="M145" t="s">
        <v>22</v>
      </c>
      <c r="N145" t="s">
        <v>41</v>
      </c>
      <c r="O145" s="7">
        <f>الجدول1[[#This Row],[Discount]]*1</f>
        <v>0.23</v>
      </c>
      <c r="P145">
        <f>الجدول1[[#This Row],[Sales_Amount]]*(1-الجدول1[[#This Row],[Discount]])</f>
        <v>5502.4662000000008</v>
      </c>
    </row>
    <row r="146" spans="1:16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 s="7">
        <v>0.25</v>
      </c>
      <c r="L146" t="s">
        <v>18</v>
      </c>
      <c r="M146" t="s">
        <v>22</v>
      </c>
      <c r="N146" t="s">
        <v>43</v>
      </c>
      <c r="O146" s="7">
        <f>الجدول1[[#This Row],[Discount]]*1</f>
        <v>0.25</v>
      </c>
      <c r="P146">
        <f>الجدول1[[#This Row],[Sales_Amount]]*(1-الجدول1[[#This Row],[Discount]])</f>
        <v>7359.99</v>
      </c>
    </row>
    <row r="147" spans="1:16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 s="7">
        <v>0.23</v>
      </c>
      <c r="L147" t="s">
        <v>18</v>
      </c>
      <c r="M147" t="s">
        <v>19</v>
      </c>
      <c r="N147" t="s">
        <v>41</v>
      </c>
      <c r="O147" s="7">
        <f>الجدول1[[#This Row],[Discount]]*1</f>
        <v>0.23</v>
      </c>
      <c r="P147">
        <f>الجدول1[[#This Row],[Sales_Amount]]*(1-الجدول1[[#This Row],[Discount]])</f>
        <v>4418.5987999999998</v>
      </c>
    </row>
    <row r="148" spans="1:16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 s="7">
        <v>0.05</v>
      </c>
      <c r="L148" t="s">
        <v>27</v>
      </c>
      <c r="M148" t="s">
        <v>19</v>
      </c>
      <c r="N148" t="s">
        <v>39</v>
      </c>
      <c r="O148" s="7">
        <f>الجدول1[[#This Row],[Discount]]*1</f>
        <v>0.05</v>
      </c>
      <c r="P148">
        <f>الجدول1[[#This Row],[Sales_Amount]]*(1-الجدول1[[#This Row],[Discount]])</f>
        <v>2535.9870000000001</v>
      </c>
    </row>
    <row r="149" spans="1:16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 s="7">
        <v>0.25</v>
      </c>
      <c r="L149" t="s">
        <v>31</v>
      </c>
      <c r="M149" t="s">
        <v>19</v>
      </c>
      <c r="N149" t="s">
        <v>49</v>
      </c>
      <c r="O149" s="7">
        <f>الجدول1[[#This Row],[Discount]]*1</f>
        <v>0.25</v>
      </c>
      <c r="P149">
        <f>الجدول1[[#This Row],[Sales_Amount]]*(1-الجدول1[[#This Row],[Discount]])</f>
        <v>3319.6950000000002</v>
      </c>
    </row>
    <row r="150" spans="1:16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 s="7">
        <v>0.06</v>
      </c>
      <c r="L150" t="s">
        <v>31</v>
      </c>
      <c r="M150" t="s">
        <v>19</v>
      </c>
      <c r="N150" t="s">
        <v>53</v>
      </c>
      <c r="O150" s="7">
        <f>الجدول1[[#This Row],[Discount]]*1</f>
        <v>0.06</v>
      </c>
      <c r="P150">
        <f>الجدول1[[#This Row],[Sales_Amount]]*(1-الجدول1[[#This Row],[Discount]])</f>
        <v>5617.6749999999993</v>
      </c>
    </row>
    <row r="151" spans="1:16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 s="7">
        <v>0.27</v>
      </c>
      <c r="L151" t="s">
        <v>18</v>
      </c>
      <c r="M151" t="s">
        <v>19</v>
      </c>
      <c r="N151" t="s">
        <v>47</v>
      </c>
      <c r="O151" s="7">
        <f>الجدول1[[#This Row],[Discount]]*1</f>
        <v>0.27</v>
      </c>
      <c r="P151">
        <f>الجدول1[[#This Row],[Sales_Amount]]*(1-الجدول1[[#This Row],[Discount]])</f>
        <v>601.16229999999996</v>
      </c>
    </row>
    <row r="152" spans="1:16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 s="7">
        <v>0.14000000000000001</v>
      </c>
      <c r="L152" t="s">
        <v>18</v>
      </c>
      <c r="M152" t="s">
        <v>22</v>
      </c>
      <c r="N152" t="s">
        <v>23</v>
      </c>
      <c r="O152" s="7">
        <f>الجدول1[[#This Row],[Discount]]*1</f>
        <v>0.14000000000000001</v>
      </c>
      <c r="P152">
        <f>الجدول1[[#This Row],[Sales_Amount]]*(1-الجدول1[[#This Row],[Discount]])</f>
        <v>5384.6319999999996</v>
      </c>
    </row>
    <row r="153" spans="1:16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 s="7">
        <v>0.2</v>
      </c>
      <c r="L153" t="s">
        <v>27</v>
      </c>
      <c r="M153" t="s">
        <v>22</v>
      </c>
      <c r="N153" t="s">
        <v>40</v>
      </c>
      <c r="O153" s="7">
        <f>الجدول1[[#This Row],[Discount]]*1</f>
        <v>0.2</v>
      </c>
      <c r="P153">
        <f>الجدول1[[#This Row],[Sales_Amount]]*(1-الجدول1[[#This Row],[Discount]])</f>
        <v>7850.9279999999999</v>
      </c>
    </row>
    <row r="154" spans="1:16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 s="7">
        <v>0.15</v>
      </c>
      <c r="L154" t="s">
        <v>31</v>
      </c>
      <c r="M154" t="s">
        <v>19</v>
      </c>
      <c r="N154" t="s">
        <v>28</v>
      </c>
      <c r="O154" s="7">
        <f>الجدول1[[#This Row],[Discount]]*1</f>
        <v>0.15</v>
      </c>
      <c r="P154">
        <f>الجدول1[[#This Row],[Sales_Amount]]*(1-الجدول1[[#This Row],[Discount]])</f>
        <v>1684.7594999999999</v>
      </c>
    </row>
    <row r="155" spans="1:16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 s="7">
        <v>0.03</v>
      </c>
      <c r="L155" t="s">
        <v>18</v>
      </c>
      <c r="M155" t="s">
        <v>22</v>
      </c>
      <c r="N155" t="s">
        <v>53</v>
      </c>
      <c r="O155" s="7">
        <f>الجدول1[[#This Row],[Discount]]*1</f>
        <v>0.03</v>
      </c>
      <c r="P155">
        <f>الجدول1[[#This Row],[Sales_Amount]]*(1-الجدول1[[#This Row],[Discount]])</f>
        <v>7708.2892999999995</v>
      </c>
    </row>
    <row r="156" spans="1:16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 s="7">
        <v>0.09</v>
      </c>
      <c r="L156" t="s">
        <v>27</v>
      </c>
      <c r="M156" t="s">
        <v>22</v>
      </c>
      <c r="N156" t="s">
        <v>23</v>
      </c>
      <c r="O156" s="7">
        <f>الجدول1[[#This Row],[Discount]]*1</f>
        <v>0.09</v>
      </c>
      <c r="P156">
        <f>الجدول1[[#This Row],[Sales_Amount]]*(1-الجدول1[[#This Row],[Discount]])</f>
        <v>8270.2620000000006</v>
      </c>
    </row>
    <row r="157" spans="1:16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 s="7">
        <v>0.3</v>
      </c>
      <c r="L157" t="s">
        <v>31</v>
      </c>
      <c r="M157" t="s">
        <v>22</v>
      </c>
      <c r="N157" t="s">
        <v>20</v>
      </c>
      <c r="O157" s="7">
        <f>الجدول1[[#This Row],[Discount]]*1</f>
        <v>0.3</v>
      </c>
      <c r="P157">
        <f>الجدول1[[#This Row],[Sales_Amount]]*(1-الجدول1[[#This Row],[Discount]])</f>
        <v>6609.8549999999996</v>
      </c>
    </row>
    <row r="158" spans="1:16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 s="7">
        <v>0.28999999999999998</v>
      </c>
      <c r="L158" t="s">
        <v>31</v>
      </c>
      <c r="M158" t="s">
        <v>22</v>
      </c>
      <c r="N158" t="s">
        <v>41</v>
      </c>
      <c r="O158" s="7">
        <f>الجدول1[[#This Row],[Discount]]*1</f>
        <v>0.28999999999999998</v>
      </c>
      <c r="P158">
        <f>الجدول1[[#This Row],[Sales_Amount]]*(1-الجدول1[[#This Row],[Discount]])</f>
        <v>6819.7914000000001</v>
      </c>
    </row>
    <row r="159" spans="1:16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 s="7">
        <v>0.1</v>
      </c>
      <c r="L159" t="s">
        <v>18</v>
      </c>
      <c r="M159" t="s">
        <v>19</v>
      </c>
      <c r="N159" t="s">
        <v>51</v>
      </c>
      <c r="O159" s="7">
        <f>الجدول1[[#This Row],[Discount]]*1</f>
        <v>0.1</v>
      </c>
      <c r="P159">
        <f>الجدول1[[#This Row],[Sales_Amount]]*(1-الجدول1[[#This Row],[Discount]])</f>
        <v>4736.2049999999999</v>
      </c>
    </row>
    <row r="160" spans="1:16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 s="7">
        <v>0.3</v>
      </c>
      <c r="L160" t="s">
        <v>27</v>
      </c>
      <c r="M160" t="s">
        <v>22</v>
      </c>
      <c r="N160" t="s">
        <v>53</v>
      </c>
      <c r="O160" s="7">
        <f>الجدول1[[#This Row],[Discount]]*1</f>
        <v>0.3</v>
      </c>
      <c r="P160">
        <f>الجدول1[[#This Row],[Sales_Amount]]*(1-الجدول1[[#This Row],[Discount]])</f>
        <v>6842.7449999999999</v>
      </c>
    </row>
    <row r="161" spans="1:16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 s="7">
        <v>0.25</v>
      </c>
      <c r="L161" t="s">
        <v>18</v>
      </c>
      <c r="M161" t="s">
        <v>22</v>
      </c>
      <c r="N161" t="s">
        <v>39</v>
      </c>
      <c r="O161" s="7">
        <f>الجدول1[[#This Row],[Discount]]*1</f>
        <v>0.25</v>
      </c>
      <c r="P161">
        <f>الجدول1[[#This Row],[Sales_Amount]]*(1-الجدول1[[#This Row],[Discount]])</f>
        <v>5698.0275000000001</v>
      </c>
    </row>
    <row r="162" spans="1:16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 s="7">
        <v>0.18</v>
      </c>
      <c r="L162" t="s">
        <v>27</v>
      </c>
      <c r="M162" t="s">
        <v>22</v>
      </c>
      <c r="N162" t="s">
        <v>36</v>
      </c>
      <c r="O162" s="7">
        <f>الجدول1[[#This Row],[Discount]]*1</f>
        <v>0.18</v>
      </c>
      <c r="P162">
        <f>الجدول1[[#This Row],[Sales_Amount]]*(1-الجدول1[[#This Row],[Discount]])</f>
        <v>1394.451</v>
      </c>
    </row>
    <row r="163" spans="1:16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 s="7">
        <v>0.01</v>
      </c>
      <c r="L163" t="s">
        <v>31</v>
      </c>
      <c r="M163" t="s">
        <v>19</v>
      </c>
      <c r="N163" t="s">
        <v>49</v>
      </c>
      <c r="O163" s="7">
        <f>الجدول1[[#This Row],[Discount]]*1</f>
        <v>0.01</v>
      </c>
      <c r="P163">
        <f>الجدول1[[#This Row],[Sales_Amount]]*(1-الجدول1[[#This Row],[Discount]])</f>
        <v>4773.0969000000005</v>
      </c>
    </row>
    <row r="164" spans="1:16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 s="7">
        <v>0.27</v>
      </c>
      <c r="L164" t="s">
        <v>27</v>
      </c>
      <c r="M164" t="s">
        <v>22</v>
      </c>
      <c r="N164" t="s">
        <v>52</v>
      </c>
      <c r="O164" s="7">
        <f>الجدول1[[#This Row],[Discount]]*1</f>
        <v>0.27</v>
      </c>
      <c r="P164">
        <f>الجدول1[[#This Row],[Sales_Amount]]*(1-الجدول1[[#This Row],[Discount]])</f>
        <v>5264.3803999999991</v>
      </c>
    </row>
    <row r="165" spans="1:16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 s="7">
        <v>0.17</v>
      </c>
      <c r="L165" t="s">
        <v>27</v>
      </c>
      <c r="M165" t="s">
        <v>19</v>
      </c>
      <c r="N165" t="s">
        <v>40</v>
      </c>
      <c r="O165" s="7">
        <f>الجدول1[[#This Row],[Discount]]*1</f>
        <v>0.17</v>
      </c>
      <c r="P165">
        <f>الجدول1[[#This Row],[Sales_Amount]]*(1-الجدول1[[#This Row],[Discount]])</f>
        <v>2115.3960999999999</v>
      </c>
    </row>
    <row r="166" spans="1:16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 s="7">
        <v>0.26</v>
      </c>
      <c r="L166" t="s">
        <v>27</v>
      </c>
      <c r="M166" t="s">
        <v>19</v>
      </c>
      <c r="N166" t="s">
        <v>52</v>
      </c>
      <c r="O166" s="7">
        <f>الجدول1[[#This Row],[Discount]]*1</f>
        <v>0.26</v>
      </c>
      <c r="P166">
        <f>الجدول1[[#This Row],[Sales_Amount]]*(1-الجدول1[[#This Row],[Discount]])</f>
        <v>4767.1466</v>
      </c>
    </row>
    <row r="167" spans="1:16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 s="7">
        <v>0.25</v>
      </c>
      <c r="L167" t="s">
        <v>27</v>
      </c>
      <c r="M167" t="s">
        <v>19</v>
      </c>
      <c r="N167" t="s">
        <v>28</v>
      </c>
      <c r="O167" s="7">
        <f>الجدول1[[#This Row],[Discount]]*1</f>
        <v>0.25</v>
      </c>
      <c r="P167">
        <f>الجدول1[[#This Row],[Sales_Amount]]*(1-الجدول1[[#This Row],[Discount]])</f>
        <v>5024.5050000000001</v>
      </c>
    </row>
    <row r="168" spans="1:16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 s="7">
        <v>0.25</v>
      </c>
      <c r="L168" t="s">
        <v>27</v>
      </c>
      <c r="M168" t="s">
        <v>19</v>
      </c>
      <c r="N168" t="s">
        <v>32</v>
      </c>
      <c r="O168" s="7">
        <f>الجدول1[[#This Row],[Discount]]*1</f>
        <v>0.25</v>
      </c>
      <c r="P168">
        <f>الجدول1[[#This Row],[Sales_Amount]]*(1-الجدول1[[#This Row],[Discount]])</f>
        <v>1283.0475000000001</v>
      </c>
    </row>
    <row r="169" spans="1:16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 s="7">
        <v>0.21</v>
      </c>
      <c r="L169" t="s">
        <v>18</v>
      </c>
      <c r="M169" t="s">
        <v>22</v>
      </c>
      <c r="N169" t="s">
        <v>40</v>
      </c>
      <c r="O169" s="7">
        <f>الجدول1[[#This Row],[Discount]]*1</f>
        <v>0.21</v>
      </c>
      <c r="P169">
        <f>الجدول1[[#This Row],[Sales_Amount]]*(1-الجدول1[[#This Row],[Discount]])</f>
        <v>4498.5286000000006</v>
      </c>
    </row>
    <row r="170" spans="1:16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 s="7">
        <v>0.09</v>
      </c>
      <c r="L170" t="s">
        <v>27</v>
      </c>
      <c r="M170" t="s">
        <v>19</v>
      </c>
      <c r="N170" t="s">
        <v>37</v>
      </c>
      <c r="O170" s="7">
        <f>الجدول1[[#This Row],[Discount]]*1</f>
        <v>0.09</v>
      </c>
      <c r="P170">
        <f>الجدول1[[#This Row],[Sales_Amount]]*(1-الجدول1[[#This Row],[Discount]])</f>
        <v>7042.5901000000003</v>
      </c>
    </row>
    <row r="171" spans="1:16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 s="7">
        <v>0.1</v>
      </c>
      <c r="L171" t="s">
        <v>27</v>
      </c>
      <c r="M171" t="s">
        <v>19</v>
      </c>
      <c r="N171" t="s">
        <v>50</v>
      </c>
      <c r="O171" s="7">
        <f>الجدول1[[#This Row],[Discount]]*1</f>
        <v>0.1</v>
      </c>
      <c r="P171">
        <f>الجدول1[[#This Row],[Sales_Amount]]*(1-الجدول1[[#This Row],[Discount]])</f>
        <v>4535.1629999999996</v>
      </c>
    </row>
    <row r="172" spans="1:16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 s="7">
        <v>0.09</v>
      </c>
      <c r="L172" t="s">
        <v>31</v>
      </c>
      <c r="M172" t="s">
        <v>19</v>
      </c>
      <c r="N172" t="s">
        <v>41</v>
      </c>
      <c r="O172" s="7">
        <f>الجدول1[[#This Row],[Discount]]*1</f>
        <v>0.09</v>
      </c>
      <c r="P172">
        <f>الجدول1[[#This Row],[Sales_Amount]]*(1-الجدول1[[#This Row],[Discount]])</f>
        <v>200.03620000000001</v>
      </c>
    </row>
    <row r="173" spans="1:16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 s="7">
        <v>0.01</v>
      </c>
      <c r="L173" t="s">
        <v>27</v>
      </c>
      <c r="M173" t="s">
        <v>19</v>
      </c>
      <c r="N173" t="s">
        <v>51</v>
      </c>
      <c r="O173" s="7">
        <f>الجدول1[[#This Row],[Discount]]*1</f>
        <v>0.01</v>
      </c>
      <c r="P173">
        <f>الجدول1[[#This Row],[Sales_Amount]]*(1-الجدول1[[#This Row],[Discount]])</f>
        <v>187.58519999999999</v>
      </c>
    </row>
    <row r="174" spans="1:16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 s="7">
        <v>0.17</v>
      </c>
      <c r="L174" t="s">
        <v>31</v>
      </c>
      <c r="M174" t="s">
        <v>19</v>
      </c>
      <c r="N174" t="s">
        <v>51</v>
      </c>
      <c r="O174" s="7">
        <f>الجدول1[[#This Row],[Discount]]*1</f>
        <v>0.17</v>
      </c>
      <c r="P174">
        <f>الجدول1[[#This Row],[Sales_Amount]]*(1-الجدول1[[#This Row],[Discount]])</f>
        <v>3016.7096999999999</v>
      </c>
    </row>
    <row r="175" spans="1:16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 s="7">
        <v>0.21</v>
      </c>
      <c r="L175" t="s">
        <v>18</v>
      </c>
      <c r="M175" t="s">
        <v>22</v>
      </c>
      <c r="N175" t="s">
        <v>43</v>
      </c>
      <c r="O175" s="7">
        <f>الجدول1[[#This Row],[Discount]]*1</f>
        <v>0.21</v>
      </c>
      <c r="P175">
        <f>الجدول1[[#This Row],[Sales_Amount]]*(1-الجدول1[[#This Row],[Discount]])</f>
        <v>7322.7628000000004</v>
      </c>
    </row>
    <row r="176" spans="1:16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 s="7">
        <v>0.26</v>
      </c>
      <c r="L176" t="s">
        <v>18</v>
      </c>
      <c r="M176" t="s">
        <v>19</v>
      </c>
      <c r="N176" t="s">
        <v>49</v>
      </c>
      <c r="O176" s="7">
        <f>الجدول1[[#This Row],[Discount]]*1</f>
        <v>0.26</v>
      </c>
      <c r="P176">
        <f>الجدول1[[#This Row],[Sales_Amount]]*(1-الجدول1[[#This Row],[Discount]])</f>
        <v>1749.2860000000001</v>
      </c>
    </row>
    <row r="177" spans="1:16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 s="7">
        <v>0.04</v>
      </c>
      <c r="L177" t="s">
        <v>27</v>
      </c>
      <c r="M177" t="s">
        <v>22</v>
      </c>
      <c r="N177" t="s">
        <v>53</v>
      </c>
      <c r="O177" s="7">
        <f>الجدول1[[#This Row],[Discount]]*1</f>
        <v>0.04</v>
      </c>
      <c r="P177">
        <f>الجدول1[[#This Row],[Sales_Amount]]*(1-الجدول1[[#This Row],[Discount]])</f>
        <v>6124.9919999999993</v>
      </c>
    </row>
    <row r="178" spans="1:16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 s="7">
        <v>0.16</v>
      </c>
      <c r="L178" t="s">
        <v>18</v>
      </c>
      <c r="M178" t="s">
        <v>22</v>
      </c>
      <c r="N178" t="s">
        <v>28</v>
      </c>
      <c r="O178" s="7">
        <f>الجدول1[[#This Row],[Discount]]*1</f>
        <v>0.16</v>
      </c>
      <c r="P178">
        <f>الجدول1[[#This Row],[Sales_Amount]]*(1-الجدول1[[#This Row],[Discount]])</f>
        <v>1930.7820000000002</v>
      </c>
    </row>
    <row r="179" spans="1:16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 s="7">
        <v>0</v>
      </c>
      <c r="L179" t="s">
        <v>27</v>
      </c>
      <c r="M179" t="s">
        <v>19</v>
      </c>
      <c r="N179" t="s">
        <v>32</v>
      </c>
      <c r="O179" s="7">
        <f>الجدول1[[#This Row],[Discount]]*1</f>
        <v>0</v>
      </c>
      <c r="P179">
        <f>الجدول1[[#This Row],[Sales_Amount]]*(1-الجدول1[[#This Row],[Discount]])</f>
        <v>3284.53</v>
      </c>
    </row>
    <row r="180" spans="1:16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 s="7">
        <v>0.03</v>
      </c>
      <c r="L180" t="s">
        <v>18</v>
      </c>
      <c r="M180" t="s">
        <v>22</v>
      </c>
      <c r="N180" t="s">
        <v>53</v>
      </c>
      <c r="O180" s="7">
        <f>الجدول1[[#This Row],[Discount]]*1</f>
        <v>0.03</v>
      </c>
      <c r="P180">
        <f>الجدول1[[#This Row],[Sales_Amount]]*(1-الجدول1[[#This Row],[Discount]])</f>
        <v>8240.751400000001</v>
      </c>
    </row>
    <row r="181" spans="1:16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 s="7">
        <v>0.02</v>
      </c>
      <c r="L181" t="s">
        <v>27</v>
      </c>
      <c r="M181" t="s">
        <v>22</v>
      </c>
      <c r="N181" t="s">
        <v>37</v>
      </c>
      <c r="O181" s="7">
        <f>الجدول1[[#This Row],[Discount]]*1</f>
        <v>0.02</v>
      </c>
      <c r="P181">
        <f>الجدول1[[#This Row],[Sales_Amount]]*(1-الجدول1[[#This Row],[Discount]])</f>
        <v>7169.4153999999999</v>
      </c>
    </row>
    <row r="182" spans="1:16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 s="7">
        <v>0.22</v>
      </c>
      <c r="L182" t="s">
        <v>27</v>
      </c>
      <c r="M182" t="s">
        <v>22</v>
      </c>
      <c r="N182" t="s">
        <v>46</v>
      </c>
      <c r="O182" s="7">
        <f>الجدول1[[#This Row],[Discount]]*1</f>
        <v>0.22</v>
      </c>
      <c r="P182">
        <f>الجدول1[[#This Row],[Sales_Amount]]*(1-الجدول1[[#This Row],[Discount]])</f>
        <v>814.67100000000005</v>
      </c>
    </row>
    <row r="183" spans="1:16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 s="7">
        <v>0.02</v>
      </c>
      <c r="L183" t="s">
        <v>31</v>
      </c>
      <c r="M183" t="s">
        <v>19</v>
      </c>
      <c r="N183" t="s">
        <v>46</v>
      </c>
      <c r="O183" s="7">
        <f>الجدول1[[#This Row],[Discount]]*1</f>
        <v>0.02</v>
      </c>
      <c r="P183">
        <f>الجدول1[[#This Row],[Sales_Amount]]*(1-الجدول1[[#This Row],[Discount]])</f>
        <v>4257.2669999999998</v>
      </c>
    </row>
    <row r="184" spans="1:16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 s="7">
        <v>0.21</v>
      </c>
      <c r="L184" t="s">
        <v>31</v>
      </c>
      <c r="M184" t="s">
        <v>19</v>
      </c>
      <c r="N184" t="s">
        <v>52</v>
      </c>
      <c r="O184" s="7">
        <f>الجدول1[[#This Row],[Discount]]*1</f>
        <v>0.21</v>
      </c>
      <c r="P184">
        <f>الجدول1[[#This Row],[Sales_Amount]]*(1-الجدول1[[#This Row],[Discount]])</f>
        <v>307.13619999999997</v>
      </c>
    </row>
    <row r="185" spans="1:16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 s="7">
        <v>7.0000000000000007E-2</v>
      </c>
      <c r="L185" t="s">
        <v>31</v>
      </c>
      <c r="M185" t="s">
        <v>19</v>
      </c>
      <c r="N185" t="s">
        <v>37</v>
      </c>
      <c r="O185" s="7">
        <f>الجدول1[[#This Row],[Discount]]*1</f>
        <v>7.0000000000000007E-2</v>
      </c>
      <c r="P185">
        <f>الجدول1[[#This Row],[Sales_Amount]]*(1-الجدول1[[#This Row],[Discount]])</f>
        <v>4520.5533000000005</v>
      </c>
    </row>
    <row r="186" spans="1:16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 s="7">
        <v>0.26</v>
      </c>
      <c r="L186" t="s">
        <v>31</v>
      </c>
      <c r="M186" t="s">
        <v>19</v>
      </c>
      <c r="N186" t="s">
        <v>40</v>
      </c>
      <c r="O186" s="7">
        <f>الجدول1[[#This Row],[Discount]]*1</f>
        <v>0.26</v>
      </c>
      <c r="P186">
        <f>الجدول1[[#This Row],[Sales_Amount]]*(1-الجدول1[[#This Row],[Discount]])</f>
        <v>4926.9940000000006</v>
      </c>
    </row>
    <row r="187" spans="1:16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 s="7">
        <v>0.24</v>
      </c>
      <c r="L187" t="s">
        <v>27</v>
      </c>
      <c r="M187" t="s">
        <v>19</v>
      </c>
      <c r="N187" t="s">
        <v>32</v>
      </c>
      <c r="O187" s="7">
        <f>الجدول1[[#This Row],[Discount]]*1</f>
        <v>0.24</v>
      </c>
      <c r="P187">
        <f>الجدول1[[#This Row],[Sales_Amount]]*(1-الجدول1[[#This Row],[Discount]])</f>
        <v>967.61680000000001</v>
      </c>
    </row>
    <row r="188" spans="1:16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 s="7">
        <v>0.28999999999999998</v>
      </c>
      <c r="L188" t="s">
        <v>18</v>
      </c>
      <c r="M188" t="s">
        <v>19</v>
      </c>
      <c r="N188" t="s">
        <v>20</v>
      </c>
      <c r="O188" s="7">
        <f>الجدول1[[#This Row],[Discount]]*1</f>
        <v>0.28999999999999998</v>
      </c>
      <c r="P188">
        <f>الجدول1[[#This Row],[Sales_Amount]]*(1-الجدول1[[#This Row],[Discount]])</f>
        <v>2101.5715999999998</v>
      </c>
    </row>
    <row r="189" spans="1:16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 s="7">
        <v>0.27</v>
      </c>
      <c r="L189" t="s">
        <v>27</v>
      </c>
      <c r="M189" t="s">
        <v>19</v>
      </c>
      <c r="N189" t="s">
        <v>47</v>
      </c>
      <c r="O189" s="7">
        <f>الجدول1[[#This Row],[Discount]]*1</f>
        <v>0.27</v>
      </c>
      <c r="P189">
        <f>الجدول1[[#This Row],[Sales_Amount]]*(1-الجدول1[[#This Row],[Discount]])</f>
        <v>2948.1633999999999</v>
      </c>
    </row>
    <row r="190" spans="1:16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 s="7">
        <v>0.28000000000000003</v>
      </c>
      <c r="L190" t="s">
        <v>31</v>
      </c>
      <c r="M190" t="s">
        <v>22</v>
      </c>
      <c r="N190" t="s">
        <v>39</v>
      </c>
      <c r="O190" s="7">
        <f>الجدول1[[#This Row],[Discount]]*1</f>
        <v>0.28000000000000003</v>
      </c>
      <c r="P190">
        <f>الجدول1[[#This Row],[Sales_Amount]]*(1-الجدول1[[#This Row],[Discount]])</f>
        <v>6626.4192000000003</v>
      </c>
    </row>
    <row r="191" spans="1:16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 s="7">
        <v>0.26</v>
      </c>
      <c r="L191" t="s">
        <v>31</v>
      </c>
      <c r="M191" t="s">
        <v>22</v>
      </c>
      <c r="N191" t="s">
        <v>41</v>
      </c>
      <c r="O191" s="7">
        <f>الجدول1[[#This Row],[Discount]]*1</f>
        <v>0.26</v>
      </c>
      <c r="P191">
        <f>الجدول1[[#This Row],[Sales_Amount]]*(1-الجدول1[[#This Row],[Discount]])</f>
        <v>7350.5827999999992</v>
      </c>
    </row>
    <row r="192" spans="1:16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 s="7">
        <v>0.21</v>
      </c>
      <c r="L192" t="s">
        <v>18</v>
      </c>
      <c r="M192" t="s">
        <v>19</v>
      </c>
      <c r="N192" t="s">
        <v>46</v>
      </c>
      <c r="O192" s="7">
        <f>الجدول1[[#This Row],[Discount]]*1</f>
        <v>0.21</v>
      </c>
      <c r="P192">
        <f>الجدول1[[#This Row],[Sales_Amount]]*(1-الجدول1[[#This Row],[Discount]])</f>
        <v>430.24980000000005</v>
      </c>
    </row>
    <row r="193" spans="1:16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 s="7">
        <v>0.05</v>
      </c>
      <c r="L193" t="s">
        <v>31</v>
      </c>
      <c r="M193" t="s">
        <v>22</v>
      </c>
      <c r="N193" t="s">
        <v>52</v>
      </c>
      <c r="O193" s="7">
        <f>الجدول1[[#This Row],[Discount]]*1</f>
        <v>0.05</v>
      </c>
      <c r="P193">
        <f>الجدول1[[#This Row],[Sales_Amount]]*(1-الجدول1[[#This Row],[Discount]])</f>
        <v>7252.280999999999</v>
      </c>
    </row>
    <row r="194" spans="1:16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 s="7">
        <v>0.08</v>
      </c>
      <c r="L194" t="s">
        <v>27</v>
      </c>
      <c r="M194" t="s">
        <v>19</v>
      </c>
      <c r="N194" t="s">
        <v>47</v>
      </c>
      <c r="O194" s="7">
        <f>الجدول1[[#This Row],[Discount]]*1</f>
        <v>0.08</v>
      </c>
      <c r="P194">
        <f>الجدول1[[#This Row],[Sales_Amount]]*(1-الجدول1[[#This Row],[Discount]])</f>
        <v>3477.6644000000001</v>
      </c>
    </row>
    <row r="195" spans="1:16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 s="7">
        <v>0.06</v>
      </c>
      <c r="L195" t="s">
        <v>27</v>
      </c>
      <c r="M195" t="s">
        <v>19</v>
      </c>
      <c r="N195" t="s">
        <v>39</v>
      </c>
      <c r="O195" s="7">
        <f>الجدول1[[#This Row],[Discount]]*1</f>
        <v>0.06</v>
      </c>
      <c r="P195">
        <f>الجدول1[[#This Row],[Sales_Amount]]*(1-الجدول1[[#This Row],[Discount]])</f>
        <v>3746.2195999999999</v>
      </c>
    </row>
    <row r="196" spans="1:16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 s="7">
        <v>0.18</v>
      </c>
      <c r="L196" t="s">
        <v>27</v>
      </c>
      <c r="M196" t="s">
        <v>19</v>
      </c>
      <c r="N196" t="s">
        <v>32</v>
      </c>
      <c r="O196" s="7">
        <f>الجدول1[[#This Row],[Discount]]*1</f>
        <v>0.18</v>
      </c>
      <c r="P196">
        <f>الجدول1[[#This Row],[Sales_Amount]]*(1-الجدول1[[#This Row],[Discount]])</f>
        <v>6205.1204000000007</v>
      </c>
    </row>
    <row r="197" spans="1:16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 s="7">
        <v>0.15</v>
      </c>
      <c r="L197" t="s">
        <v>27</v>
      </c>
      <c r="M197" t="s">
        <v>22</v>
      </c>
      <c r="N197" t="s">
        <v>40</v>
      </c>
      <c r="O197" s="7">
        <f>الجدول1[[#This Row],[Discount]]*1</f>
        <v>0.15</v>
      </c>
      <c r="P197">
        <f>الجدول1[[#This Row],[Sales_Amount]]*(1-الجدول1[[#This Row],[Discount]])</f>
        <v>7813.5569999999998</v>
      </c>
    </row>
    <row r="198" spans="1:16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 s="7">
        <v>0.26</v>
      </c>
      <c r="L198" t="s">
        <v>27</v>
      </c>
      <c r="M198" t="s">
        <v>19</v>
      </c>
      <c r="N198" t="s">
        <v>50</v>
      </c>
      <c r="O198" s="7">
        <f>الجدول1[[#This Row],[Discount]]*1</f>
        <v>0.26</v>
      </c>
      <c r="P198">
        <f>الجدول1[[#This Row],[Sales_Amount]]*(1-الجدول1[[#This Row],[Discount]])</f>
        <v>7040.5006000000003</v>
      </c>
    </row>
    <row r="199" spans="1:16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 s="7">
        <v>0.28999999999999998</v>
      </c>
      <c r="L199" t="s">
        <v>18</v>
      </c>
      <c r="M199" t="s">
        <v>19</v>
      </c>
      <c r="N199" t="s">
        <v>45</v>
      </c>
      <c r="O199" s="7">
        <f>الجدول1[[#This Row],[Discount]]*1</f>
        <v>0.28999999999999998</v>
      </c>
      <c r="P199">
        <f>الجدول1[[#This Row],[Sales_Amount]]*(1-الجدول1[[#This Row],[Discount]])</f>
        <v>4127.5920999999998</v>
      </c>
    </row>
    <row r="200" spans="1:16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 s="7">
        <v>0.12</v>
      </c>
      <c r="L200" t="s">
        <v>27</v>
      </c>
      <c r="M200" t="s">
        <v>19</v>
      </c>
      <c r="N200" t="s">
        <v>53</v>
      </c>
      <c r="O200" s="7">
        <f>الجدول1[[#This Row],[Discount]]*1</f>
        <v>0.12</v>
      </c>
      <c r="P200">
        <f>الجدول1[[#This Row],[Sales_Amount]]*(1-الجدول1[[#This Row],[Discount]])</f>
        <v>3199.2400000000002</v>
      </c>
    </row>
    <row r="201" spans="1:16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 s="7">
        <v>0.15</v>
      </c>
      <c r="L201" t="s">
        <v>31</v>
      </c>
      <c r="M201" t="s">
        <v>19</v>
      </c>
      <c r="N201" t="s">
        <v>23</v>
      </c>
      <c r="O201" s="7">
        <f>الجدول1[[#This Row],[Discount]]*1</f>
        <v>0.15</v>
      </c>
      <c r="P201">
        <f>الجدول1[[#This Row],[Sales_Amount]]*(1-الجدول1[[#This Row],[Discount]])</f>
        <v>6712.2289999999994</v>
      </c>
    </row>
    <row r="202" spans="1:16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 s="7">
        <v>0.28999999999999998</v>
      </c>
      <c r="L202" t="s">
        <v>31</v>
      </c>
      <c r="M202" t="s">
        <v>22</v>
      </c>
      <c r="N202" t="s">
        <v>47</v>
      </c>
      <c r="O202" s="7">
        <f>الجدول1[[#This Row],[Discount]]*1</f>
        <v>0.28999999999999998</v>
      </c>
      <c r="P202">
        <f>الجدول1[[#This Row],[Sales_Amount]]*(1-الجدول1[[#This Row],[Discount]])</f>
        <v>1835.2860999999998</v>
      </c>
    </row>
    <row r="203" spans="1:16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 s="7">
        <v>0.08</v>
      </c>
      <c r="L203" t="s">
        <v>31</v>
      </c>
      <c r="M203" t="s">
        <v>19</v>
      </c>
      <c r="N203" t="s">
        <v>53</v>
      </c>
      <c r="O203" s="7">
        <f>الجدول1[[#This Row],[Discount]]*1</f>
        <v>0.08</v>
      </c>
      <c r="P203">
        <f>الجدول1[[#This Row],[Sales_Amount]]*(1-الجدول1[[#This Row],[Discount]])</f>
        <v>5229.5835999999999</v>
      </c>
    </row>
    <row r="204" spans="1:16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 s="7">
        <v>0.24</v>
      </c>
      <c r="L204" t="s">
        <v>31</v>
      </c>
      <c r="M204" t="s">
        <v>22</v>
      </c>
      <c r="N204" t="s">
        <v>36</v>
      </c>
      <c r="O204" s="7">
        <f>الجدول1[[#This Row],[Discount]]*1</f>
        <v>0.24</v>
      </c>
      <c r="P204">
        <f>الجدول1[[#This Row],[Sales_Amount]]*(1-الجدول1[[#This Row],[Discount]])</f>
        <v>2773.9467999999997</v>
      </c>
    </row>
    <row r="205" spans="1:16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 s="7">
        <v>7.0000000000000007E-2</v>
      </c>
      <c r="L205" t="s">
        <v>18</v>
      </c>
      <c r="M205" t="s">
        <v>22</v>
      </c>
      <c r="N205" t="s">
        <v>41</v>
      </c>
      <c r="O205" s="7">
        <f>الجدول1[[#This Row],[Discount]]*1</f>
        <v>7.0000000000000007E-2</v>
      </c>
      <c r="P205">
        <f>الجدول1[[#This Row],[Sales_Amount]]*(1-الجدول1[[#This Row],[Discount]])</f>
        <v>6138.6044999999995</v>
      </c>
    </row>
    <row r="206" spans="1:16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 s="7">
        <v>0.2</v>
      </c>
      <c r="L206" t="s">
        <v>31</v>
      </c>
      <c r="M206" t="s">
        <v>19</v>
      </c>
      <c r="N206" t="s">
        <v>40</v>
      </c>
      <c r="O206" s="7">
        <f>الجدول1[[#This Row],[Discount]]*1</f>
        <v>0.2</v>
      </c>
      <c r="P206">
        <f>الجدول1[[#This Row],[Sales_Amount]]*(1-الجدول1[[#This Row],[Discount]])</f>
        <v>1983.96</v>
      </c>
    </row>
    <row r="207" spans="1:16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 s="7">
        <v>0.08</v>
      </c>
      <c r="L207" t="s">
        <v>18</v>
      </c>
      <c r="M207" t="s">
        <v>19</v>
      </c>
      <c r="N207" t="s">
        <v>53</v>
      </c>
      <c r="O207" s="7">
        <f>الجدول1[[#This Row],[Discount]]*1</f>
        <v>0.08</v>
      </c>
      <c r="P207">
        <f>الجدول1[[#This Row],[Sales_Amount]]*(1-الجدول1[[#This Row],[Discount]])</f>
        <v>1837.0284000000001</v>
      </c>
    </row>
    <row r="208" spans="1:16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 s="7">
        <v>0.27</v>
      </c>
      <c r="L208" t="s">
        <v>31</v>
      </c>
      <c r="M208" t="s">
        <v>22</v>
      </c>
      <c r="N208" t="s">
        <v>40</v>
      </c>
      <c r="O208" s="7">
        <f>الجدول1[[#This Row],[Discount]]*1</f>
        <v>0.27</v>
      </c>
      <c r="P208">
        <f>الجدول1[[#This Row],[Sales_Amount]]*(1-الجدول1[[#This Row],[Discount]])</f>
        <v>6709.1160999999993</v>
      </c>
    </row>
    <row r="209" spans="1:16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 s="7">
        <v>0.17</v>
      </c>
      <c r="L209" t="s">
        <v>18</v>
      </c>
      <c r="M209" t="s">
        <v>22</v>
      </c>
      <c r="N209" t="s">
        <v>45</v>
      </c>
      <c r="O209" s="7">
        <f>الجدول1[[#This Row],[Discount]]*1</f>
        <v>0.17</v>
      </c>
      <c r="P209">
        <f>الجدول1[[#This Row],[Sales_Amount]]*(1-الجدول1[[#This Row],[Discount]])</f>
        <v>919.52379999999982</v>
      </c>
    </row>
    <row r="210" spans="1:16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 s="7">
        <v>0.06</v>
      </c>
      <c r="L210" t="s">
        <v>18</v>
      </c>
      <c r="M210" t="s">
        <v>22</v>
      </c>
      <c r="N210" t="s">
        <v>49</v>
      </c>
      <c r="O210" s="7">
        <f>الجدول1[[#This Row],[Discount]]*1</f>
        <v>0.06</v>
      </c>
      <c r="P210">
        <f>الجدول1[[#This Row],[Sales_Amount]]*(1-الجدول1[[#This Row],[Discount]])</f>
        <v>4802.4411999999993</v>
      </c>
    </row>
    <row r="211" spans="1:16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 s="7">
        <v>7.0000000000000007E-2</v>
      </c>
      <c r="L211" t="s">
        <v>18</v>
      </c>
      <c r="M211" t="s">
        <v>22</v>
      </c>
      <c r="N211" t="s">
        <v>45</v>
      </c>
      <c r="O211" s="7">
        <f>الجدول1[[#This Row],[Discount]]*1</f>
        <v>7.0000000000000007E-2</v>
      </c>
      <c r="P211">
        <f>الجدول1[[#This Row],[Sales_Amount]]*(1-الجدول1[[#This Row],[Discount]])</f>
        <v>2126.3892000000001</v>
      </c>
    </row>
    <row r="212" spans="1:16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 s="7">
        <v>0.15</v>
      </c>
      <c r="L212" t="s">
        <v>31</v>
      </c>
      <c r="M212" t="s">
        <v>19</v>
      </c>
      <c r="N212" t="s">
        <v>37</v>
      </c>
      <c r="O212" s="7">
        <f>الجدول1[[#This Row],[Discount]]*1</f>
        <v>0.15</v>
      </c>
      <c r="P212">
        <f>الجدول1[[#This Row],[Sales_Amount]]*(1-الجدول1[[#This Row],[Discount]])</f>
        <v>412.5985</v>
      </c>
    </row>
    <row r="213" spans="1:16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 s="7">
        <v>0.28999999999999998</v>
      </c>
      <c r="L213" t="s">
        <v>18</v>
      </c>
      <c r="M213" t="s">
        <v>22</v>
      </c>
      <c r="N213" t="s">
        <v>36</v>
      </c>
      <c r="O213" s="7">
        <f>الجدول1[[#This Row],[Discount]]*1</f>
        <v>0.28999999999999998</v>
      </c>
      <c r="P213">
        <f>الجدول1[[#This Row],[Sales_Amount]]*(1-الجدول1[[#This Row],[Discount]])</f>
        <v>324.17889999999994</v>
      </c>
    </row>
    <row r="214" spans="1:16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 s="7">
        <v>0.23</v>
      </c>
      <c r="L214" t="s">
        <v>27</v>
      </c>
      <c r="M214" t="s">
        <v>22</v>
      </c>
      <c r="N214" t="s">
        <v>45</v>
      </c>
      <c r="O214" s="7">
        <f>الجدول1[[#This Row],[Discount]]*1</f>
        <v>0.23</v>
      </c>
      <c r="P214">
        <f>الجدول1[[#This Row],[Sales_Amount]]*(1-الجدول1[[#This Row],[Discount]])</f>
        <v>1412.7190000000001</v>
      </c>
    </row>
    <row r="215" spans="1:16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 s="7">
        <v>0.15</v>
      </c>
      <c r="L215" t="s">
        <v>27</v>
      </c>
      <c r="M215" t="s">
        <v>22</v>
      </c>
      <c r="N215" t="s">
        <v>39</v>
      </c>
      <c r="O215" s="7">
        <f>الجدول1[[#This Row],[Discount]]*1</f>
        <v>0.15</v>
      </c>
      <c r="P215">
        <f>الجدول1[[#This Row],[Sales_Amount]]*(1-الجدول1[[#This Row],[Discount]])</f>
        <v>7378.8755000000001</v>
      </c>
    </row>
    <row r="216" spans="1:16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 s="7">
        <v>0.1</v>
      </c>
      <c r="L216" t="s">
        <v>31</v>
      </c>
      <c r="M216" t="s">
        <v>22</v>
      </c>
      <c r="N216" t="s">
        <v>41</v>
      </c>
      <c r="O216" s="7">
        <f>الجدول1[[#This Row],[Discount]]*1</f>
        <v>0.1</v>
      </c>
      <c r="P216">
        <f>الجدول1[[#This Row],[Sales_Amount]]*(1-الجدول1[[#This Row],[Discount]])</f>
        <v>2606.886</v>
      </c>
    </row>
    <row r="217" spans="1:16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 s="7">
        <v>0.16</v>
      </c>
      <c r="L217" t="s">
        <v>27</v>
      </c>
      <c r="M217" t="s">
        <v>19</v>
      </c>
      <c r="N217" t="s">
        <v>37</v>
      </c>
      <c r="O217" s="7">
        <f>الجدول1[[#This Row],[Discount]]*1</f>
        <v>0.16</v>
      </c>
      <c r="P217">
        <f>الجدول1[[#This Row],[Sales_Amount]]*(1-الجدول1[[#This Row],[Discount]])</f>
        <v>7988.021999999999</v>
      </c>
    </row>
    <row r="218" spans="1:16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 s="7">
        <v>0.22</v>
      </c>
      <c r="L218" t="s">
        <v>27</v>
      </c>
      <c r="M218" t="s">
        <v>19</v>
      </c>
      <c r="N218" t="s">
        <v>20</v>
      </c>
      <c r="O218" s="7">
        <f>الجدول1[[#This Row],[Discount]]*1</f>
        <v>0.22</v>
      </c>
      <c r="P218">
        <f>الجدول1[[#This Row],[Sales_Amount]]*(1-الجدول1[[#This Row],[Discount]])</f>
        <v>4569.2868000000008</v>
      </c>
    </row>
    <row r="219" spans="1:16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 s="7">
        <v>0.24</v>
      </c>
      <c r="L219" t="s">
        <v>27</v>
      </c>
      <c r="M219" t="s">
        <v>19</v>
      </c>
      <c r="N219" t="s">
        <v>41</v>
      </c>
      <c r="O219" s="7">
        <f>الجدول1[[#This Row],[Discount]]*1</f>
        <v>0.24</v>
      </c>
      <c r="P219">
        <f>الجدول1[[#This Row],[Sales_Amount]]*(1-الجدول1[[#This Row],[Discount]])</f>
        <v>3361.0847999999996</v>
      </c>
    </row>
    <row r="220" spans="1:16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 s="7">
        <v>0.1</v>
      </c>
      <c r="L220" t="s">
        <v>31</v>
      </c>
      <c r="M220" t="s">
        <v>22</v>
      </c>
      <c r="N220" t="s">
        <v>45</v>
      </c>
      <c r="O220" s="7">
        <f>الجدول1[[#This Row],[Discount]]*1</f>
        <v>0.1</v>
      </c>
      <c r="P220">
        <f>الجدول1[[#This Row],[Sales_Amount]]*(1-الجدول1[[#This Row],[Discount]])</f>
        <v>5258.5920000000006</v>
      </c>
    </row>
    <row r="221" spans="1:16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 s="7">
        <v>0.22</v>
      </c>
      <c r="L221" t="s">
        <v>31</v>
      </c>
      <c r="M221" t="s">
        <v>22</v>
      </c>
      <c r="N221" t="s">
        <v>48</v>
      </c>
      <c r="O221" s="7">
        <f>الجدول1[[#This Row],[Discount]]*1</f>
        <v>0.22</v>
      </c>
      <c r="P221">
        <f>الجدول1[[#This Row],[Sales_Amount]]*(1-الجدول1[[#This Row],[Discount]])</f>
        <v>4067.9418000000005</v>
      </c>
    </row>
    <row r="222" spans="1:16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 s="7">
        <v>0.2</v>
      </c>
      <c r="L222" t="s">
        <v>27</v>
      </c>
      <c r="M222" t="s">
        <v>19</v>
      </c>
      <c r="N222" t="s">
        <v>50</v>
      </c>
      <c r="O222" s="7">
        <f>الجدول1[[#This Row],[Discount]]*1</f>
        <v>0.2</v>
      </c>
      <c r="P222">
        <f>الجدول1[[#This Row],[Sales_Amount]]*(1-الجدول1[[#This Row],[Discount]])</f>
        <v>6089.5040000000008</v>
      </c>
    </row>
    <row r="223" spans="1:16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 s="7">
        <v>0.28999999999999998</v>
      </c>
      <c r="L223" t="s">
        <v>31</v>
      </c>
      <c r="M223" t="s">
        <v>19</v>
      </c>
      <c r="N223" t="s">
        <v>37</v>
      </c>
      <c r="O223" s="7">
        <f>الجدول1[[#This Row],[Discount]]*1</f>
        <v>0.28999999999999998</v>
      </c>
      <c r="P223">
        <f>الجدول1[[#This Row],[Sales_Amount]]*(1-الجدول1[[#This Row],[Discount]])</f>
        <v>2056.6641</v>
      </c>
    </row>
    <row r="224" spans="1:16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 s="7">
        <v>0.28000000000000003</v>
      </c>
      <c r="L224" t="s">
        <v>18</v>
      </c>
      <c r="M224" t="s">
        <v>22</v>
      </c>
      <c r="N224" t="s">
        <v>41</v>
      </c>
      <c r="O224" s="7">
        <f>الجدول1[[#This Row],[Discount]]*1</f>
        <v>0.28000000000000003</v>
      </c>
      <c r="P224">
        <f>الجدول1[[#This Row],[Sales_Amount]]*(1-الجدول1[[#This Row],[Discount]])</f>
        <v>2588.5439999999999</v>
      </c>
    </row>
    <row r="225" spans="1:16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 s="7">
        <v>0.24</v>
      </c>
      <c r="L225" t="s">
        <v>27</v>
      </c>
      <c r="M225" t="s">
        <v>19</v>
      </c>
      <c r="N225" t="s">
        <v>28</v>
      </c>
      <c r="O225" s="7">
        <f>الجدول1[[#This Row],[Discount]]*1</f>
        <v>0.24</v>
      </c>
      <c r="P225">
        <f>الجدول1[[#This Row],[Sales_Amount]]*(1-الجدول1[[#This Row],[Discount]])</f>
        <v>6803.162800000001</v>
      </c>
    </row>
    <row r="226" spans="1:16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 s="7">
        <v>0.22</v>
      </c>
      <c r="L226" t="s">
        <v>31</v>
      </c>
      <c r="M226" t="s">
        <v>22</v>
      </c>
      <c r="N226" t="s">
        <v>37</v>
      </c>
      <c r="O226" s="7">
        <f>الجدول1[[#This Row],[Discount]]*1</f>
        <v>0.22</v>
      </c>
      <c r="P226">
        <f>الجدول1[[#This Row],[Sales_Amount]]*(1-الجدول1[[#This Row],[Discount]])</f>
        <v>7386.5376000000006</v>
      </c>
    </row>
    <row r="227" spans="1:16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 s="7">
        <v>0.08</v>
      </c>
      <c r="L227" t="s">
        <v>31</v>
      </c>
      <c r="M227" t="s">
        <v>22</v>
      </c>
      <c r="N227" t="s">
        <v>32</v>
      </c>
      <c r="O227" s="7">
        <f>الجدول1[[#This Row],[Discount]]*1</f>
        <v>0.08</v>
      </c>
      <c r="P227">
        <f>الجدول1[[#This Row],[Sales_Amount]]*(1-الجدول1[[#This Row],[Discount]])</f>
        <v>8221.4236000000001</v>
      </c>
    </row>
    <row r="228" spans="1:16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 s="7">
        <v>0.25</v>
      </c>
      <c r="L228" t="s">
        <v>27</v>
      </c>
      <c r="M228" t="s">
        <v>22</v>
      </c>
      <c r="N228" t="s">
        <v>50</v>
      </c>
      <c r="O228" s="7">
        <f>الجدول1[[#This Row],[Discount]]*1</f>
        <v>0.25</v>
      </c>
      <c r="P228">
        <f>الجدول1[[#This Row],[Sales_Amount]]*(1-الجدول1[[#This Row],[Discount]])</f>
        <v>3189.4049999999997</v>
      </c>
    </row>
    <row r="229" spans="1:16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 s="7">
        <v>0.13</v>
      </c>
      <c r="L229" t="s">
        <v>31</v>
      </c>
      <c r="M229" t="s">
        <v>22</v>
      </c>
      <c r="N229" t="s">
        <v>46</v>
      </c>
      <c r="O229" s="7">
        <f>الجدول1[[#This Row],[Discount]]*1</f>
        <v>0.13</v>
      </c>
      <c r="P229">
        <f>الجدول1[[#This Row],[Sales_Amount]]*(1-الجدول1[[#This Row],[Discount]])</f>
        <v>6808.2893999999997</v>
      </c>
    </row>
    <row r="230" spans="1:16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 s="7">
        <v>0.08</v>
      </c>
      <c r="L230" t="s">
        <v>27</v>
      </c>
      <c r="M230" t="s">
        <v>22</v>
      </c>
      <c r="N230" t="s">
        <v>20</v>
      </c>
      <c r="O230" s="7">
        <f>الجدول1[[#This Row],[Discount]]*1</f>
        <v>0.08</v>
      </c>
      <c r="P230">
        <f>الجدول1[[#This Row],[Sales_Amount]]*(1-الجدول1[[#This Row],[Discount]])</f>
        <v>4430.4624000000003</v>
      </c>
    </row>
    <row r="231" spans="1:16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 s="7">
        <v>0.12</v>
      </c>
      <c r="L231" t="s">
        <v>31</v>
      </c>
      <c r="M231" t="s">
        <v>22</v>
      </c>
      <c r="N231" t="s">
        <v>52</v>
      </c>
      <c r="O231" s="7">
        <f>الجدول1[[#This Row],[Discount]]*1</f>
        <v>0.12</v>
      </c>
      <c r="P231">
        <f>الجدول1[[#This Row],[Sales_Amount]]*(1-الجدول1[[#This Row],[Discount]])</f>
        <v>4422.5632000000005</v>
      </c>
    </row>
    <row r="232" spans="1:16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 s="7">
        <v>0.25</v>
      </c>
      <c r="L232" t="s">
        <v>18</v>
      </c>
      <c r="M232" t="s">
        <v>19</v>
      </c>
      <c r="N232" t="s">
        <v>39</v>
      </c>
      <c r="O232" s="7">
        <f>الجدول1[[#This Row],[Discount]]*1</f>
        <v>0.25</v>
      </c>
      <c r="P232">
        <f>الجدول1[[#This Row],[Sales_Amount]]*(1-الجدول1[[#This Row],[Discount]])</f>
        <v>1594.7474999999999</v>
      </c>
    </row>
    <row r="233" spans="1:16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 s="7">
        <v>0.04</v>
      </c>
      <c r="L233" t="s">
        <v>27</v>
      </c>
      <c r="M233" t="s">
        <v>19</v>
      </c>
      <c r="N233" t="s">
        <v>47</v>
      </c>
      <c r="O233" s="7">
        <f>الجدول1[[#This Row],[Discount]]*1</f>
        <v>0.04</v>
      </c>
      <c r="P233">
        <f>الجدول1[[#This Row],[Sales_Amount]]*(1-الجدول1[[#This Row],[Discount]])</f>
        <v>5714.1023999999998</v>
      </c>
    </row>
    <row r="234" spans="1:16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 s="7">
        <v>0.14000000000000001</v>
      </c>
      <c r="L234" t="s">
        <v>18</v>
      </c>
      <c r="M234" t="s">
        <v>19</v>
      </c>
      <c r="N234" t="s">
        <v>20</v>
      </c>
      <c r="O234" s="7">
        <f>الجدول1[[#This Row],[Discount]]*1</f>
        <v>0.14000000000000001</v>
      </c>
      <c r="P234">
        <f>الجدول1[[#This Row],[Sales_Amount]]*(1-الجدول1[[#This Row],[Discount]])</f>
        <v>1670.7649999999999</v>
      </c>
    </row>
    <row r="235" spans="1:16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 s="7">
        <v>0.15</v>
      </c>
      <c r="L235" t="s">
        <v>27</v>
      </c>
      <c r="M235" t="s">
        <v>22</v>
      </c>
      <c r="N235" t="s">
        <v>43</v>
      </c>
      <c r="O235" s="7">
        <f>الجدول1[[#This Row],[Discount]]*1</f>
        <v>0.15</v>
      </c>
      <c r="P235">
        <f>الجدول1[[#This Row],[Sales_Amount]]*(1-الجدول1[[#This Row],[Discount]])</f>
        <v>2875.1164999999996</v>
      </c>
    </row>
    <row r="236" spans="1:16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 s="7">
        <v>0.01</v>
      </c>
      <c r="L236" t="s">
        <v>31</v>
      </c>
      <c r="M236" t="s">
        <v>19</v>
      </c>
      <c r="N236" t="s">
        <v>37</v>
      </c>
      <c r="O236" s="7">
        <f>الجدول1[[#This Row],[Discount]]*1</f>
        <v>0.01</v>
      </c>
      <c r="P236">
        <f>الجدول1[[#This Row],[Sales_Amount]]*(1-الجدول1[[#This Row],[Discount]])</f>
        <v>8479.152</v>
      </c>
    </row>
    <row r="237" spans="1:16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 s="7">
        <v>0.06</v>
      </c>
      <c r="L237" t="s">
        <v>18</v>
      </c>
      <c r="M237" t="s">
        <v>22</v>
      </c>
      <c r="N237" t="s">
        <v>45</v>
      </c>
      <c r="O237" s="7">
        <f>الجدول1[[#This Row],[Discount]]*1</f>
        <v>0.06</v>
      </c>
      <c r="P237">
        <f>الجدول1[[#This Row],[Sales_Amount]]*(1-الجدول1[[#This Row],[Discount]])</f>
        <v>2021.047</v>
      </c>
    </row>
    <row r="238" spans="1:16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 s="7">
        <v>0.25</v>
      </c>
      <c r="L238" t="s">
        <v>31</v>
      </c>
      <c r="M238" t="s">
        <v>22</v>
      </c>
      <c r="N238" t="s">
        <v>46</v>
      </c>
      <c r="O238" s="7">
        <f>الجدول1[[#This Row],[Discount]]*1</f>
        <v>0.25</v>
      </c>
      <c r="P238">
        <f>الجدول1[[#This Row],[Sales_Amount]]*(1-الجدول1[[#This Row],[Discount]])</f>
        <v>603.35249999999996</v>
      </c>
    </row>
    <row r="239" spans="1:16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 s="7">
        <v>0.25</v>
      </c>
      <c r="L239" t="s">
        <v>27</v>
      </c>
      <c r="M239" t="s">
        <v>22</v>
      </c>
      <c r="N239" t="s">
        <v>39</v>
      </c>
      <c r="O239" s="7">
        <f>الجدول1[[#This Row],[Discount]]*1</f>
        <v>0.25</v>
      </c>
      <c r="P239">
        <f>الجدول1[[#This Row],[Sales_Amount]]*(1-الجدول1[[#This Row],[Discount]])</f>
        <v>587.38499999999999</v>
      </c>
    </row>
    <row r="240" spans="1:16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 s="7">
        <v>0.09</v>
      </c>
      <c r="L240" t="s">
        <v>27</v>
      </c>
      <c r="M240" t="s">
        <v>22</v>
      </c>
      <c r="N240" t="s">
        <v>51</v>
      </c>
      <c r="O240" s="7">
        <f>الجدول1[[#This Row],[Discount]]*1</f>
        <v>0.09</v>
      </c>
      <c r="P240">
        <f>الجدول1[[#This Row],[Sales_Amount]]*(1-الجدول1[[#This Row],[Discount]])</f>
        <v>8566.5307000000012</v>
      </c>
    </row>
    <row r="241" spans="1:16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 s="7">
        <v>0.26</v>
      </c>
      <c r="L241" t="s">
        <v>27</v>
      </c>
      <c r="M241" t="s">
        <v>19</v>
      </c>
      <c r="N241" t="s">
        <v>20</v>
      </c>
      <c r="O241" s="7">
        <f>الجدول1[[#This Row],[Discount]]*1</f>
        <v>0.26</v>
      </c>
      <c r="P241">
        <f>الجدول1[[#This Row],[Sales_Amount]]*(1-الجدول1[[#This Row],[Discount]])</f>
        <v>3787.6974</v>
      </c>
    </row>
    <row r="242" spans="1:16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 s="7">
        <v>0.23</v>
      </c>
      <c r="L242" t="s">
        <v>27</v>
      </c>
      <c r="M242" t="s">
        <v>19</v>
      </c>
      <c r="N242" t="s">
        <v>40</v>
      </c>
      <c r="O242" s="7">
        <f>الجدول1[[#This Row],[Discount]]*1</f>
        <v>0.23</v>
      </c>
      <c r="P242">
        <f>الجدول1[[#This Row],[Sales_Amount]]*(1-الجدول1[[#This Row],[Discount]])</f>
        <v>3197.9486000000002</v>
      </c>
    </row>
    <row r="243" spans="1:16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 s="7">
        <v>0.13</v>
      </c>
      <c r="L243" t="s">
        <v>27</v>
      </c>
      <c r="M243" t="s">
        <v>19</v>
      </c>
      <c r="N243" t="s">
        <v>46</v>
      </c>
      <c r="O243" s="7">
        <f>الجدول1[[#This Row],[Discount]]*1</f>
        <v>0.13</v>
      </c>
      <c r="P243">
        <f>الجدول1[[#This Row],[Sales_Amount]]*(1-الجدول1[[#This Row],[Discount]])</f>
        <v>7071.0990000000002</v>
      </c>
    </row>
    <row r="244" spans="1:16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 s="7">
        <v>0.22</v>
      </c>
      <c r="L244" t="s">
        <v>18</v>
      </c>
      <c r="M244" t="s">
        <v>22</v>
      </c>
      <c r="N244" t="s">
        <v>47</v>
      </c>
      <c r="O244" s="7">
        <f>الجدول1[[#This Row],[Discount]]*1</f>
        <v>0.22</v>
      </c>
      <c r="P244">
        <f>الجدول1[[#This Row],[Sales_Amount]]*(1-الجدول1[[#This Row],[Discount]])</f>
        <v>6532.2504000000008</v>
      </c>
    </row>
    <row r="245" spans="1:16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 s="7">
        <v>0.28999999999999998</v>
      </c>
      <c r="L245" t="s">
        <v>27</v>
      </c>
      <c r="M245" t="s">
        <v>19</v>
      </c>
      <c r="N245" t="s">
        <v>50</v>
      </c>
      <c r="O245" s="7">
        <f>الجدول1[[#This Row],[Discount]]*1</f>
        <v>0.28999999999999998</v>
      </c>
      <c r="P245">
        <f>الجدول1[[#This Row],[Sales_Amount]]*(1-الجدول1[[#This Row],[Discount]])</f>
        <v>2405.9699000000001</v>
      </c>
    </row>
    <row r="246" spans="1:16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 s="7">
        <v>0.14000000000000001</v>
      </c>
      <c r="L246" t="s">
        <v>31</v>
      </c>
      <c r="M246" t="s">
        <v>19</v>
      </c>
      <c r="N246" t="s">
        <v>50</v>
      </c>
      <c r="O246" s="7">
        <f>الجدول1[[#This Row],[Discount]]*1</f>
        <v>0.14000000000000001</v>
      </c>
      <c r="P246">
        <f>الجدول1[[#This Row],[Sales_Amount]]*(1-الجدول1[[#This Row],[Discount]])</f>
        <v>5991.4651999999996</v>
      </c>
    </row>
    <row r="247" spans="1:16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 s="7">
        <v>7.0000000000000007E-2</v>
      </c>
      <c r="L247" t="s">
        <v>18</v>
      </c>
      <c r="M247" t="s">
        <v>19</v>
      </c>
      <c r="N247" t="s">
        <v>51</v>
      </c>
      <c r="O247" s="7">
        <f>الجدول1[[#This Row],[Discount]]*1</f>
        <v>7.0000000000000007E-2</v>
      </c>
      <c r="P247">
        <f>الجدول1[[#This Row],[Sales_Amount]]*(1-الجدول1[[#This Row],[Discount]])</f>
        <v>7192.7315999999992</v>
      </c>
    </row>
    <row r="248" spans="1:16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 s="7">
        <v>0.28000000000000003</v>
      </c>
      <c r="L248" t="s">
        <v>31</v>
      </c>
      <c r="M248" t="s">
        <v>22</v>
      </c>
      <c r="N248" t="s">
        <v>47</v>
      </c>
      <c r="O248" s="7">
        <f>الجدول1[[#This Row],[Discount]]*1</f>
        <v>0.28000000000000003</v>
      </c>
      <c r="P248">
        <f>الجدول1[[#This Row],[Sales_Amount]]*(1-الجدول1[[#This Row],[Discount]])</f>
        <v>4738.3487999999998</v>
      </c>
    </row>
    <row r="249" spans="1:16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 s="7">
        <v>0.18</v>
      </c>
      <c r="L249" t="s">
        <v>27</v>
      </c>
      <c r="M249" t="s">
        <v>19</v>
      </c>
      <c r="N249" t="s">
        <v>41</v>
      </c>
      <c r="O249" s="7">
        <f>الجدول1[[#This Row],[Discount]]*1</f>
        <v>0.18</v>
      </c>
      <c r="P249">
        <f>الجدول1[[#This Row],[Sales_Amount]]*(1-الجدول1[[#This Row],[Discount]])</f>
        <v>1312.6478</v>
      </c>
    </row>
    <row r="250" spans="1:16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 s="7">
        <v>0.03</v>
      </c>
      <c r="L250" t="s">
        <v>31</v>
      </c>
      <c r="M250" t="s">
        <v>22</v>
      </c>
      <c r="N250" t="s">
        <v>32</v>
      </c>
      <c r="O250" s="7">
        <f>الجدول1[[#This Row],[Discount]]*1</f>
        <v>0.03</v>
      </c>
      <c r="P250">
        <f>الجدول1[[#This Row],[Sales_Amount]]*(1-الجدول1[[#This Row],[Discount]])</f>
        <v>8508.1027999999988</v>
      </c>
    </row>
    <row r="251" spans="1:16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 s="7">
        <v>0.17</v>
      </c>
      <c r="L251" t="s">
        <v>18</v>
      </c>
      <c r="M251" t="s">
        <v>19</v>
      </c>
      <c r="N251" t="s">
        <v>37</v>
      </c>
      <c r="O251" s="7">
        <f>الجدول1[[#This Row],[Discount]]*1</f>
        <v>0.17</v>
      </c>
      <c r="P251">
        <f>الجدول1[[#This Row],[Sales_Amount]]*(1-الجدول1[[#This Row],[Discount]])</f>
        <v>4512.7431999999999</v>
      </c>
    </row>
    <row r="252" spans="1:16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 s="7">
        <v>0.15</v>
      </c>
      <c r="L252" t="s">
        <v>18</v>
      </c>
      <c r="M252" t="s">
        <v>22</v>
      </c>
      <c r="N252" t="s">
        <v>40</v>
      </c>
      <c r="O252" s="7">
        <f>الجدول1[[#This Row],[Discount]]*1</f>
        <v>0.15</v>
      </c>
      <c r="P252">
        <f>الجدول1[[#This Row],[Sales_Amount]]*(1-الجدول1[[#This Row],[Discount]])</f>
        <v>2462.0079999999998</v>
      </c>
    </row>
    <row r="253" spans="1:16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 s="7">
        <v>0.26</v>
      </c>
      <c r="L253" t="s">
        <v>18</v>
      </c>
      <c r="M253" t="s">
        <v>19</v>
      </c>
      <c r="N253" t="s">
        <v>48</v>
      </c>
      <c r="O253" s="7">
        <f>الجدول1[[#This Row],[Discount]]*1</f>
        <v>0.26</v>
      </c>
      <c r="P253">
        <f>الجدول1[[#This Row],[Sales_Amount]]*(1-الجدول1[[#This Row],[Discount]])</f>
        <v>3189.2224000000001</v>
      </c>
    </row>
    <row r="254" spans="1:16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 s="7">
        <v>0.16</v>
      </c>
      <c r="L254" t="s">
        <v>31</v>
      </c>
      <c r="M254" t="s">
        <v>19</v>
      </c>
      <c r="N254" t="s">
        <v>28</v>
      </c>
      <c r="O254" s="7">
        <f>الجدول1[[#This Row],[Discount]]*1</f>
        <v>0.16</v>
      </c>
      <c r="P254">
        <f>الجدول1[[#This Row],[Sales_Amount]]*(1-الجدول1[[#This Row],[Discount]])</f>
        <v>396.43799999999999</v>
      </c>
    </row>
    <row r="255" spans="1:16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 s="7">
        <v>0.08</v>
      </c>
      <c r="L255" t="s">
        <v>18</v>
      </c>
      <c r="M255" t="s">
        <v>19</v>
      </c>
      <c r="N255" t="s">
        <v>51</v>
      </c>
      <c r="O255" s="7">
        <f>الجدول1[[#This Row],[Discount]]*1</f>
        <v>0.08</v>
      </c>
      <c r="P255">
        <f>الجدول1[[#This Row],[Sales_Amount]]*(1-الجدول1[[#This Row],[Discount]])</f>
        <v>1256.6096000000002</v>
      </c>
    </row>
    <row r="256" spans="1:16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 s="7">
        <v>0.2</v>
      </c>
      <c r="L256" t="s">
        <v>31</v>
      </c>
      <c r="M256" t="s">
        <v>22</v>
      </c>
      <c r="N256" t="s">
        <v>32</v>
      </c>
      <c r="O256" s="7">
        <f>الجدول1[[#This Row],[Discount]]*1</f>
        <v>0.2</v>
      </c>
      <c r="P256">
        <f>الجدول1[[#This Row],[Sales_Amount]]*(1-الجدول1[[#This Row],[Discount]])</f>
        <v>6143.1280000000006</v>
      </c>
    </row>
    <row r="257" spans="1:16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 s="7">
        <v>0.16</v>
      </c>
      <c r="L257" t="s">
        <v>27</v>
      </c>
      <c r="M257" t="s">
        <v>19</v>
      </c>
      <c r="N257" t="s">
        <v>51</v>
      </c>
      <c r="O257" s="7">
        <f>الجدول1[[#This Row],[Discount]]*1</f>
        <v>0.16</v>
      </c>
      <c r="P257">
        <f>الجدول1[[#This Row],[Sales_Amount]]*(1-الجدول1[[#This Row],[Discount]])</f>
        <v>84.100800000000007</v>
      </c>
    </row>
    <row r="258" spans="1:16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 s="7">
        <v>7.0000000000000007E-2</v>
      </c>
      <c r="L258" t="s">
        <v>27</v>
      </c>
      <c r="M258" t="s">
        <v>19</v>
      </c>
      <c r="N258" t="s">
        <v>32</v>
      </c>
      <c r="O258" s="7">
        <f>الجدول1[[#This Row],[Discount]]*1</f>
        <v>7.0000000000000007E-2</v>
      </c>
      <c r="P258">
        <f>الجدول1[[#This Row],[Sales_Amount]]*(1-الجدول1[[#This Row],[Discount]])</f>
        <v>3928.3199999999997</v>
      </c>
    </row>
    <row r="259" spans="1:16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 s="7">
        <v>0.17</v>
      </c>
      <c r="L259" t="s">
        <v>31</v>
      </c>
      <c r="M259" t="s">
        <v>22</v>
      </c>
      <c r="N259" t="s">
        <v>46</v>
      </c>
      <c r="O259" s="7">
        <f>الجدول1[[#This Row],[Discount]]*1</f>
        <v>0.17</v>
      </c>
      <c r="P259">
        <f>الجدول1[[#This Row],[Sales_Amount]]*(1-الجدول1[[#This Row],[Discount]])</f>
        <v>4376.4655000000002</v>
      </c>
    </row>
    <row r="260" spans="1:16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 s="7">
        <v>0.25</v>
      </c>
      <c r="L260" t="s">
        <v>18</v>
      </c>
      <c r="M260" t="s">
        <v>22</v>
      </c>
      <c r="N260" t="s">
        <v>52</v>
      </c>
      <c r="O260" s="7">
        <f>الجدول1[[#This Row],[Discount]]*1</f>
        <v>0.25</v>
      </c>
      <c r="P260">
        <f>الجدول1[[#This Row],[Sales_Amount]]*(1-الجدول1[[#This Row],[Discount]])</f>
        <v>480.65999999999997</v>
      </c>
    </row>
    <row r="261" spans="1:16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 s="7">
        <v>0.01</v>
      </c>
      <c r="L261" t="s">
        <v>31</v>
      </c>
      <c r="M261" t="s">
        <v>22</v>
      </c>
      <c r="N261" t="s">
        <v>40</v>
      </c>
      <c r="O261" s="7">
        <f>الجدول1[[#This Row],[Discount]]*1</f>
        <v>0.01</v>
      </c>
      <c r="P261">
        <f>الجدول1[[#This Row],[Sales_Amount]]*(1-الجدول1[[#This Row],[Discount]])</f>
        <v>9636.1352999999999</v>
      </c>
    </row>
    <row r="262" spans="1:16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 s="7">
        <v>0.19</v>
      </c>
      <c r="L262" t="s">
        <v>31</v>
      </c>
      <c r="M262" t="s">
        <v>22</v>
      </c>
      <c r="N262" t="s">
        <v>20</v>
      </c>
      <c r="O262" s="7">
        <f>الجدول1[[#This Row],[Discount]]*1</f>
        <v>0.19</v>
      </c>
      <c r="P262">
        <f>الجدول1[[#This Row],[Sales_Amount]]*(1-الجدول1[[#This Row],[Discount]])</f>
        <v>1894.2984000000001</v>
      </c>
    </row>
    <row r="263" spans="1:16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 s="7">
        <v>0.1</v>
      </c>
      <c r="L263" t="s">
        <v>31</v>
      </c>
      <c r="M263" t="s">
        <v>19</v>
      </c>
      <c r="N263" t="s">
        <v>51</v>
      </c>
      <c r="O263" s="7">
        <f>الجدول1[[#This Row],[Discount]]*1</f>
        <v>0.1</v>
      </c>
      <c r="P263">
        <f>الجدول1[[#This Row],[Sales_Amount]]*(1-الجدول1[[#This Row],[Discount]])</f>
        <v>2800.413</v>
      </c>
    </row>
    <row r="264" spans="1:16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 s="7">
        <v>0.09</v>
      </c>
      <c r="L264" t="s">
        <v>27</v>
      </c>
      <c r="M264" t="s">
        <v>19</v>
      </c>
      <c r="N264" t="s">
        <v>46</v>
      </c>
      <c r="O264" s="7">
        <f>الجدول1[[#This Row],[Discount]]*1</f>
        <v>0.09</v>
      </c>
      <c r="P264">
        <f>الجدول1[[#This Row],[Sales_Amount]]*(1-الجدول1[[#This Row],[Discount]])</f>
        <v>2829.2173000000003</v>
      </c>
    </row>
    <row r="265" spans="1:16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 s="7">
        <v>0.12</v>
      </c>
      <c r="L265" t="s">
        <v>31</v>
      </c>
      <c r="M265" t="s">
        <v>22</v>
      </c>
      <c r="N265" t="s">
        <v>44</v>
      </c>
      <c r="O265" s="7">
        <f>الجدول1[[#This Row],[Discount]]*1</f>
        <v>0.12</v>
      </c>
      <c r="P265">
        <f>الجدول1[[#This Row],[Sales_Amount]]*(1-الجدول1[[#This Row],[Discount]])</f>
        <v>2095.3856000000001</v>
      </c>
    </row>
    <row r="266" spans="1:16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 s="7">
        <v>0.1</v>
      </c>
      <c r="L266" t="s">
        <v>27</v>
      </c>
      <c r="M266" t="s">
        <v>19</v>
      </c>
      <c r="N266" t="s">
        <v>39</v>
      </c>
      <c r="O266" s="7">
        <f>الجدول1[[#This Row],[Discount]]*1</f>
        <v>0.1</v>
      </c>
      <c r="P266">
        <f>الجدول1[[#This Row],[Sales_Amount]]*(1-الجدول1[[#This Row],[Discount]])</f>
        <v>103.131</v>
      </c>
    </row>
    <row r="267" spans="1:16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 s="7">
        <v>0.25</v>
      </c>
      <c r="L267" t="s">
        <v>31</v>
      </c>
      <c r="M267" t="s">
        <v>22</v>
      </c>
      <c r="N267" t="s">
        <v>28</v>
      </c>
      <c r="O267" s="7">
        <f>الجدول1[[#This Row],[Discount]]*1</f>
        <v>0.25</v>
      </c>
      <c r="P267">
        <f>الجدول1[[#This Row],[Sales_Amount]]*(1-الجدول1[[#This Row],[Discount]])</f>
        <v>5490.3824999999997</v>
      </c>
    </row>
    <row r="268" spans="1:16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 s="7">
        <v>0.08</v>
      </c>
      <c r="L268" t="s">
        <v>27</v>
      </c>
      <c r="M268" t="s">
        <v>19</v>
      </c>
      <c r="N268" t="s">
        <v>20</v>
      </c>
      <c r="O268" s="7">
        <f>الجدول1[[#This Row],[Discount]]*1</f>
        <v>0.08</v>
      </c>
      <c r="P268">
        <f>الجدول1[[#This Row],[Sales_Amount]]*(1-الجدول1[[#This Row],[Discount]])</f>
        <v>8898.0284000000011</v>
      </c>
    </row>
    <row r="269" spans="1:16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 s="7">
        <v>0.22</v>
      </c>
      <c r="L269" t="s">
        <v>31</v>
      </c>
      <c r="M269" t="s">
        <v>22</v>
      </c>
      <c r="N269" t="s">
        <v>44</v>
      </c>
      <c r="O269" s="7">
        <f>الجدول1[[#This Row],[Discount]]*1</f>
        <v>0.22</v>
      </c>
      <c r="P269">
        <f>الجدول1[[#This Row],[Sales_Amount]]*(1-الجدول1[[#This Row],[Discount]])</f>
        <v>1809.9978000000003</v>
      </c>
    </row>
    <row r="270" spans="1:16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 s="7">
        <v>0.03</v>
      </c>
      <c r="L270" t="s">
        <v>31</v>
      </c>
      <c r="M270" t="s">
        <v>19</v>
      </c>
      <c r="N270" t="s">
        <v>45</v>
      </c>
      <c r="O270" s="7">
        <f>الجدول1[[#This Row],[Discount]]*1</f>
        <v>0.03</v>
      </c>
      <c r="P270">
        <f>الجدول1[[#This Row],[Sales_Amount]]*(1-الجدول1[[#This Row],[Discount]])</f>
        <v>6464.2448999999997</v>
      </c>
    </row>
    <row r="271" spans="1:16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 s="7">
        <v>0.28999999999999998</v>
      </c>
      <c r="L271" t="s">
        <v>18</v>
      </c>
      <c r="M271" t="s">
        <v>22</v>
      </c>
      <c r="N271" t="s">
        <v>45</v>
      </c>
      <c r="O271" s="7">
        <f>الجدول1[[#This Row],[Discount]]*1</f>
        <v>0.28999999999999998</v>
      </c>
      <c r="P271">
        <f>الجدول1[[#This Row],[Sales_Amount]]*(1-الجدول1[[#This Row],[Discount]])</f>
        <v>5285.7866999999997</v>
      </c>
    </row>
    <row r="272" spans="1:16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 s="7">
        <v>0.19</v>
      </c>
      <c r="L272" t="s">
        <v>18</v>
      </c>
      <c r="M272" t="s">
        <v>22</v>
      </c>
      <c r="N272" t="s">
        <v>23</v>
      </c>
      <c r="O272" s="7">
        <f>الجدول1[[#This Row],[Discount]]*1</f>
        <v>0.19</v>
      </c>
      <c r="P272">
        <f>الجدول1[[#This Row],[Sales_Amount]]*(1-الجدول1[[#This Row],[Discount]])</f>
        <v>6884.5221000000001</v>
      </c>
    </row>
    <row r="273" spans="1:16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 s="7">
        <v>0.21</v>
      </c>
      <c r="L273" t="s">
        <v>31</v>
      </c>
      <c r="M273" t="s">
        <v>19</v>
      </c>
      <c r="N273" t="s">
        <v>43</v>
      </c>
      <c r="O273" s="7">
        <f>الجدول1[[#This Row],[Discount]]*1</f>
        <v>0.21</v>
      </c>
      <c r="P273">
        <f>الجدول1[[#This Row],[Sales_Amount]]*(1-الجدول1[[#This Row],[Discount]])</f>
        <v>3384.3836999999999</v>
      </c>
    </row>
    <row r="274" spans="1:16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 s="7">
        <v>0.09</v>
      </c>
      <c r="L274" t="s">
        <v>31</v>
      </c>
      <c r="M274" t="s">
        <v>19</v>
      </c>
      <c r="N274" t="s">
        <v>32</v>
      </c>
      <c r="O274" s="7">
        <f>الجدول1[[#This Row],[Discount]]*1</f>
        <v>0.09</v>
      </c>
      <c r="P274">
        <f>الجدول1[[#This Row],[Sales_Amount]]*(1-الجدول1[[#This Row],[Discount]])</f>
        <v>2820.1082000000001</v>
      </c>
    </row>
    <row r="275" spans="1:16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 s="7">
        <v>0.12</v>
      </c>
      <c r="L275" t="s">
        <v>31</v>
      </c>
      <c r="M275" t="s">
        <v>19</v>
      </c>
      <c r="N275" t="s">
        <v>36</v>
      </c>
      <c r="O275" s="7">
        <f>الجدول1[[#This Row],[Discount]]*1</f>
        <v>0.12</v>
      </c>
      <c r="P275">
        <f>الجدول1[[#This Row],[Sales_Amount]]*(1-الجدول1[[#This Row],[Discount]])</f>
        <v>2921.9695999999999</v>
      </c>
    </row>
    <row r="276" spans="1:16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 s="7">
        <v>7.0000000000000007E-2</v>
      </c>
      <c r="L276" t="s">
        <v>31</v>
      </c>
      <c r="M276" t="s">
        <v>22</v>
      </c>
      <c r="N276" t="s">
        <v>47</v>
      </c>
      <c r="O276" s="7">
        <f>الجدول1[[#This Row],[Discount]]*1</f>
        <v>7.0000000000000007E-2</v>
      </c>
      <c r="P276">
        <f>الجدول1[[#This Row],[Sales_Amount]]*(1-الجدول1[[#This Row],[Discount]])</f>
        <v>6654.1034999999993</v>
      </c>
    </row>
    <row r="277" spans="1:16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 s="7">
        <v>0.28000000000000003</v>
      </c>
      <c r="L277" t="s">
        <v>18</v>
      </c>
      <c r="M277" t="s">
        <v>19</v>
      </c>
      <c r="N277" t="s">
        <v>46</v>
      </c>
      <c r="O277" s="7">
        <f>الجدول1[[#This Row],[Discount]]*1</f>
        <v>0.28000000000000003</v>
      </c>
      <c r="P277">
        <f>الجدول1[[#This Row],[Sales_Amount]]*(1-الجدول1[[#This Row],[Discount]])</f>
        <v>5894.0063999999993</v>
      </c>
    </row>
    <row r="278" spans="1:16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 s="7">
        <v>0.15</v>
      </c>
      <c r="L278" t="s">
        <v>27</v>
      </c>
      <c r="M278" t="s">
        <v>22</v>
      </c>
      <c r="N278" t="s">
        <v>51</v>
      </c>
      <c r="O278" s="7">
        <f>الجدول1[[#This Row],[Discount]]*1</f>
        <v>0.15</v>
      </c>
      <c r="P278">
        <f>الجدول1[[#This Row],[Sales_Amount]]*(1-الجدول1[[#This Row],[Discount]])</f>
        <v>1613.2829999999999</v>
      </c>
    </row>
    <row r="279" spans="1:16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 s="7">
        <v>0.19</v>
      </c>
      <c r="L279" t="s">
        <v>31</v>
      </c>
      <c r="M279" t="s">
        <v>19</v>
      </c>
      <c r="N279" t="s">
        <v>32</v>
      </c>
      <c r="O279" s="7">
        <f>الجدول1[[#This Row],[Discount]]*1</f>
        <v>0.19</v>
      </c>
      <c r="P279">
        <f>الجدول1[[#This Row],[Sales_Amount]]*(1-الجدول1[[#This Row],[Discount]])</f>
        <v>3055.5792000000001</v>
      </c>
    </row>
    <row r="280" spans="1:16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 s="7">
        <v>0.22</v>
      </c>
      <c r="L280" t="s">
        <v>18</v>
      </c>
      <c r="M280" t="s">
        <v>19</v>
      </c>
      <c r="N280" t="s">
        <v>40</v>
      </c>
      <c r="O280" s="7">
        <f>الجدول1[[#This Row],[Discount]]*1</f>
        <v>0.22</v>
      </c>
      <c r="P280">
        <f>الجدول1[[#This Row],[Sales_Amount]]*(1-الجدول1[[#This Row],[Discount]])</f>
        <v>7042.7837999999992</v>
      </c>
    </row>
    <row r="281" spans="1:16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 s="7">
        <v>0.11</v>
      </c>
      <c r="L281" t="s">
        <v>31</v>
      </c>
      <c r="M281" t="s">
        <v>22</v>
      </c>
      <c r="N281" t="s">
        <v>49</v>
      </c>
      <c r="O281" s="7">
        <f>الجدول1[[#This Row],[Discount]]*1</f>
        <v>0.11</v>
      </c>
      <c r="P281">
        <f>الجدول1[[#This Row],[Sales_Amount]]*(1-الجدول1[[#This Row],[Discount]])</f>
        <v>7196.7803000000004</v>
      </c>
    </row>
    <row r="282" spans="1:16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 s="7">
        <v>0.22</v>
      </c>
      <c r="L282" t="s">
        <v>31</v>
      </c>
      <c r="M282" t="s">
        <v>22</v>
      </c>
      <c r="N282" t="s">
        <v>53</v>
      </c>
      <c r="O282" s="7">
        <f>الجدول1[[#This Row],[Discount]]*1</f>
        <v>0.22</v>
      </c>
      <c r="P282">
        <f>الجدول1[[#This Row],[Sales_Amount]]*(1-الجدول1[[#This Row],[Discount]])</f>
        <v>7683.0780000000004</v>
      </c>
    </row>
    <row r="283" spans="1:16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 s="7">
        <v>0.2</v>
      </c>
      <c r="L283" t="s">
        <v>27</v>
      </c>
      <c r="M283" t="s">
        <v>19</v>
      </c>
      <c r="N283" t="s">
        <v>45</v>
      </c>
      <c r="O283" s="7">
        <f>الجدول1[[#This Row],[Discount]]*1</f>
        <v>0.2</v>
      </c>
      <c r="P283">
        <f>الجدول1[[#This Row],[Sales_Amount]]*(1-الجدول1[[#This Row],[Discount]])</f>
        <v>6053.648000000001</v>
      </c>
    </row>
    <row r="284" spans="1:16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 s="7">
        <v>0.21</v>
      </c>
      <c r="L284" t="s">
        <v>31</v>
      </c>
      <c r="M284" t="s">
        <v>22</v>
      </c>
      <c r="N284" t="s">
        <v>20</v>
      </c>
      <c r="O284" s="7">
        <f>الجدول1[[#This Row],[Discount]]*1</f>
        <v>0.21</v>
      </c>
      <c r="P284">
        <f>الجدول1[[#This Row],[Sales_Amount]]*(1-الجدول1[[#This Row],[Discount]])</f>
        <v>3154.1777000000002</v>
      </c>
    </row>
    <row r="285" spans="1:16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 s="7">
        <v>0.15</v>
      </c>
      <c r="L285" t="s">
        <v>31</v>
      </c>
      <c r="M285" t="s">
        <v>22</v>
      </c>
      <c r="N285" t="s">
        <v>52</v>
      </c>
      <c r="O285" s="7">
        <f>الجدول1[[#This Row],[Discount]]*1</f>
        <v>0.15</v>
      </c>
      <c r="P285">
        <f>الجدول1[[#This Row],[Sales_Amount]]*(1-الجدول1[[#This Row],[Discount]])</f>
        <v>5055.2134999999998</v>
      </c>
    </row>
    <row r="286" spans="1:16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 s="7">
        <v>0.11</v>
      </c>
      <c r="L286" t="s">
        <v>27</v>
      </c>
      <c r="M286" t="s">
        <v>19</v>
      </c>
      <c r="N286" t="s">
        <v>41</v>
      </c>
      <c r="O286" s="7">
        <f>الجدول1[[#This Row],[Discount]]*1</f>
        <v>0.11</v>
      </c>
      <c r="P286">
        <f>الجدول1[[#This Row],[Sales_Amount]]*(1-الجدول1[[#This Row],[Discount]])</f>
        <v>5913.1956</v>
      </c>
    </row>
    <row r="287" spans="1:16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 s="7">
        <v>7.0000000000000007E-2</v>
      </c>
      <c r="L287" t="s">
        <v>27</v>
      </c>
      <c r="M287" t="s">
        <v>22</v>
      </c>
      <c r="N287" t="s">
        <v>43</v>
      </c>
      <c r="O287" s="7">
        <f>الجدول1[[#This Row],[Discount]]*1</f>
        <v>7.0000000000000007E-2</v>
      </c>
      <c r="P287">
        <f>الجدول1[[#This Row],[Sales_Amount]]*(1-الجدول1[[#This Row],[Discount]])</f>
        <v>815.34029999999996</v>
      </c>
    </row>
    <row r="288" spans="1:16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 s="7">
        <v>0.25</v>
      </c>
      <c r="L288" t="s">
        <v>27</v>
      </c>
      <c r="M288" t="s">
        <v>19</v>
      </c>
      <c r="N288" t="s">
        <v>48</v>
      </c>
      <c r="O288" s="7">
        <f>الجدول1[[#This Row],[Discount]]*1</f>
        <v>0.25</v>
      </c>
      <c r="P288">
        <f>الجدول1[[#This Row],[Sales_Amount]]*(1-الجدول1[[#This Row],[Discount]])</f>
        <v>4117.8900000000003</v>
      </c>
    </row>
    <row r="289" spans="1:16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 s="7">
        <v>0.18</v>
      </c>
      <c r="L289" t="s">
        <v>27</v>
      </c>
      <c r="M289" t="s">
        <v>19</v>
      </c>
      <c r="N289" t="s">
        <v>37</v>
      </c>
      <c r="O289" s="7">
        <f>الجدول1[[#This Row],[Discount]]*1</f>
        <v>0.18</v>
      </c>
      <c r="P289">
        <f>الجدول1[[#This Row],[Sales_Amount]]*(1-الجدول1[[#This Row],[Discount]])</f>
        <v>5840.2696000000005</v>
      </c>
    </row>
    <row r="290" spans="1:16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 s="7">
        <v>0.13</v>
      </c>
      <c r="L290" t="s">
        <v>18</v>
      </c>
      <c r="M290" t="s">
        <v>22</v>
      </c>
      <c r="N290" t="s">
        <v>45</v>
      </c>
      <c r="O290" s="7">
        <f>الجدول1[[#This Row],[Discount]]*1</f>
        <v>0.13</v>
      </c>
      <c r="P290">
        <f>الجدول1[[#This Row],[Sales_Amount]]*(1-الجدول1[[#This Row],[Discount]])</f>
        <v>1528.1376</v>
      </c>
    </row>
    <row r="291" spans="1:16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 s="7">
        <v>0.28000000000000003</v>
      </c>
      <c r="L291" t="s">
        <v>18</v>
      </c>
      <c r="M291" t="s">
        <v>19</v>
      </c>
      <c r="N291" t="s">
        <v>37</v>
      </c>
      <c r="O291" s="7">
        <f>الجدول1[[#This Row],[Discount]]*1</f>
        <v>0.28000000000000003</v>
      </c>
      <c r="P291">
        <f>الجدول1[[#This Row],[Sales_Amount]]*(1-الجدول1[[#This Row],[Discount]])</f>
        <v>5636.34</v>
      </c>
    </row>
    <row r="292" spans="1:16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 s="7">
        <v>0.01</v>
      </c>
      <c r="L292" t="s">
        <v>18</v>
      </c>
      <c r="M292" t="s">
        <v>22</v>
      </c>
      <c r="N292" t="s">
        <v>23</v>
      </c>
      <c r="O292" s="7">
        <f>الجدول1[[#This Row],[Discount]]*1</f>
        <v>0.01</v>
      </c>
      <c r="P292">
        <f>الجدول1[[#This Row],[Sales_Amount]]*(1-الجدول1[[#This Row],[Discount]])</f>
        <v>5820.5565000000006</v>
      </c>
    </row>
    <row r="293" spans="1:16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 s="7">
        <v>0.26</v>
      </c>
      <c r="L293" t="s">
        <v>31</v>
      </c>
      <c r="M293" t="s">
        <v>19</v>
      </c>
      <c r="N293" t="s">
        <v>49</v>
      </c>
      <c r="O293" s="7">
        <f>الجدول1[[#This Row],[Discount]]*1</f>
        <v>0.26</v>
      </c>
      <c r="P293">
        <f>الجدول1[[#This Row],[Sales_Amount]]*(1-الجدول1[[#This Row],[Discount]])</f>
        <v>7049.98</v>
      </c>
    </row>
    <row r="294" spans="1:16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 s="7">
        <v>0.3</v>
      </c>
      <c r="L294" t="s">
        <v>27</v>
      </c>
      <c r="M294" t="s">
        <v>22</v>
      </c>
      <c r="N294" t="s">
        <v>40</v>
      </c>
      <c r="O294" s="7">
        <f>الجدول1[[#This Row],[Discount]]*1</f>
        <v>0.3</v>
      </c>
      <c r="P294">
        <f>الجدول1[[#This Row],[Sales_Amount]]*(1-الجدول1[[#This Row],[Discount]])</f>
        <v>363.98599999999999</v>
      </c>
    </row>
    <row r="295" spans="1:16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 s="7">
        <v>0.27</v>
      </c>
      <c r="L295" t="s">
        <v>27</v>
      </c>
      <c r="M295" t="s">
        <v>22</v>
      </c>
      <c r="N295" t="s">
        <v>40</v>
      </c>
      <c r="O295" s="7">
        <f>الجدول1[[#This Row],[Discount]]*1</f>
        <v>0.27</v>
      </c>
      <c r="P295">
        <f>الجدول1[[#This Row],[Sales_Amount]]*(1-الجدول1[[#This Row],[Discount]])</f>
        <v>1990.5128999999999</v>
      </c>
    </row>
    <row r="296" spans="1:16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 s="7">
        <v>0.24</v>
      </c>
      <c r="L296" t="s">
        <v>18</v>
      </c>
      <c r="M296" t="s">
        <v>22</v>
      </c>
      <c r="N296" t="s">
        <v>43</v>
      </c>
      <c r="O296" s="7">
        <f>الجدول1[[#This Row],[Discount]]*1</f>
        <v>0.24</v>
      </c>
      <c r="P296">
        <f>الجدول1[[#This Row],[Sales_Amount]]*(1-الجدول1[[#This Row],[Discount]])</f>
        <v>4602.0888000000004</v>
      </c>
    </row>
    <row r="297" spans="1:16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 s="7">
        <v>0.11</v>
      </c>
      <c r="L297" t="s">
        <v>31</v>
      </c>
      <c r="M297" t="s">
        <v>22</v>
      </c>
      <c r="N297" t="s">
        <v>49</v>
      </c>
      <c r="O297" s="7">
        <f>الجدول1[[#This Row],[Discount]]*1</f>
        <v>0.11</v>
      </c>
      <c r="P297">
        <f>الجدول1[[#This Row],[Sales_Amount]]*(1-الجدول1[[#This Row],[Discount]])</f>
        <v>2701.9866000000002</v>
      </c>
    </row>
    <row r="298" spans="1:16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 s="7">
        <v>7.0000000000000007E-2</v>
      </c>
      <c r="L298" t="s">
        <v>31</v>
      </c>
      <c r="M298" t="s">
        <v>22</v>
      </c>
      <c r="N298" t="s">
        <v>32</v>
      </c>
      <c r="O298" s="7">
        <f>الجدول1[[#This Row],[Discount]]*1</f>
        <v>7.0000000000000007E-2</v>
      </c>
      <c r="P298">
        <f>الجدول1[[#This Row],[Sales_Amount]]*(1-الجدول1[[#This Row],[Discount]])</f>
        <v>6670.7039999999997</v>
      </c>
    </row>
    <row r="299" spans="1:16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 s="7">
        <v>0.22</v>
      </c>
      <c r="L299" t="s">
        <v>31</v>
      </c>
      <c r="M299" t="s">
        <v>19</v>
      </c>
      <c r="N299" t="s">
        <v>53</v>
      </c>
      <c r="O299" s="7">
        <f>الجدول1[[#This Row],[Discount]]*1</f>
        <v>0.22</v>
      </c>
      <c r="P299">
        <f>الجدول1[[#This Row],[Sales_Amount]]*(1-الجدول1[[#This Row],[Discount]])</f>
        <v>5939.0370000000003</v>
      </c>
    </row>
    <row r="300" spans="1:16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 s="7">
        <v>0.09</v>
      </c>
      <c r="L300" t="s">
        <v>18</v>
      </c>
      <c r="M300" t="s">
        <v>19</v>
      </c>
      <c r="N300" t="s">
        <v>39</v>
      </c>
      <c r="O300" s="7">
        <f>الجدول1[[#This Row],[Discount]]*1</f>
        <v>0.09</v>
      </c>
      <c r="P300">
        <f>الجدول1[[#This Row],[Sales_Amount]]*(1-الجدول1[[#This Row],[Discount]])</f>
        <v>1014.5681000000001</v>
      </c>
    </row>
    <row r="301" spans="1:16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 s="7">
        <v>0.05</v>
      </c>
      <c r="L301" t="s">
        <v>31</v>
      </c>
      <c r="M301" t="s">
        <v>22</v>
      </c>
      <c r="N301" t="s">
        <v>23</v>
      </c>
      <c r="O301" s="7">
        <f>الجدول1[[#This Row],[Discount]]*1</f>
        <v>0.05</v>
      </c>
      <c r="P301">
        <f>الجدول1[[#This Row],[Sales_Amount]]*(1-الجدول1[[#This Row],[Discount]])</f>
        <v>4927.8019999999997</v>
      </c>
    </row>
    <row r="302" spans="1:16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 s="7">
        <v>0.24</v>
      </c>
      <c r="L302" t="s">
        <v>31</v>
      </c>
      <c r="M302" t="s">
        <v>19</v>
      </c>
      <c r="N302" t="s">
        <v>36</v>
      </c>
      <c r="O302" s="7">
        <f>الجدول1[[#This Row],[Discount]]*1</f>
        <v>0.24</v>
      </c>
      <c r="P302">
        <f>الجدول1[[#This Row],[Sales_Amount]]*(1-الجدول1[[#This Row],[Discount]])</f>
        <v>3904.8952000000004</v>
      </c>
    </row>
    <row r="303" spans="1:16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 s="7">
        <v>0.09</v>
      </c>
      <c r="L303" t="s">
        <v>31</v>
      </c>
      <c r="M303" t="s">
        <v>22</v>
      </c>
      <c r="N303" t="s">
        <v>23</v>
      </c>
      <c r="O303" s="7">
        <f>الجدول1[[#This Row],[Discount]]*1</f>
        <v>0.09</v>
      </c>
      <c r="P303">
        <f>الجدول1[[#This Row],[Sales_Amount]]*(1-الجدول1[[#This Row],[Discount]])</f>
        <v>3417.8508000000002</v>
      </c>
    </row>
    <row r="304" spans="1:16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 s="7">
        <v>0.27</v>
      </c>
      <c r="L304" t="s">
        <v>27</v>
      </c>
      <c r="M304" t="s">
        <v>22</v>
      </c>
      <c r="N304" t="s">
        <v>41</v>
      </c>
      <c r="O304" s="7">
        <f>الجدول1[[#This Row],[Discount]]*1</f>
        <v>0.27</v>
      </c>
      <c r="P304">
        <f>الجدول1[[#This Row],[Sales_Amount]]*(1-الجدول1[[#This Row],[Discount]])</f>
        <v>6815.2507999999989</v>
      </c>
    </row>
    <row r="305" spans="1:16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 s="7">
        <v>0.25</v>
      </c>
      <c r="L305" t="s">
        <v>18</v>
      </c>
      <c r="M305" t="s">
        <v>19</v>
      </c>
      <c r="N305" t="s">
        <v>49</v>
      </c>
      <c r="O305" s="7">
        <f>الجدول1[[#This Row],[Discount]]*1</f>
        <v>0.25</v>
      </c>
      <c r="P305">
        <f>الجدول1[[#This Row],[Sales_Amount]]*(1-الجدول1[[#This Row],[Discount]])</f>
        <v>6219.2325000000001</v>
      </c>
    </row>
    <row r="306" spans="1:16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 s="7">
        <v>0.25</v>
      </c>
      <c r="L306" t="s">
        <v>27</v>
      </c>
      <c r="M306" t="s">
        <v>19</v>
      </c>
      <c r="N306" t="s">
        <v>43</v>
      </c>
      <c r="O306" s="7">
        <f>الجدول1[[#This Row],[Discount]]*1</f>
        <v>0.25</v>
      </c>
      <c r="P306">
        <f>الجدول1[[#This Row],[Sales_Amount]]*(1-الجدول1[[#This Row],[Discount]])</f>
        <v>5251.7775000000001</v>
      </c>
    </row>
    <row r="307" spans="1:16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 s="7">
        <v>0.23</v>
      </c>
      <c r="L307" t="s">
        <v>27</v>
      </c>
      <c r="M307" t="s">
        <v>22</v>
      </c>
      <c r="N307" t="s">
        <v>36</v>
      </c>
      <c r="O307" s="7">
        <f>الجدول1[[#This Row],[Discount]]*1</f>
        <v>0.23</v>
      </c>
      <c r="P307">
        <f>الجدول1[[#This Row],[Sales_Amount]]*(1-الجدول1[[#This Row],[Discount]])</f>
        <v>5522.3091000000004</v>
      </c>
    </row>
    <row r="308" spans="1:16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 s="7">
        <v>0.26</v>
      </c>
      <c r="L308" t="s">
        <v>18</v>
      </c>
      <c r="M308" t="s">
        <v>22</v>
      </c>
      <c r="N308" t="s">
        <v>45</v>
      </c>
      <c r="O308" s="7">
        <f>الجدول1[[#This Row],[Discount]]*1</f>
        <v>0.26</v>
      </c>
      <c r="P308">
        <f>الجدول1[[#This Row],[Sales_Amount]]*(1-الجدول1[[#This Row],[Discount]])</f>
        <v>3456.5326</v>
      </c>
    </row>
    <row r="309" spans="1:16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 s="7">
        <v>0.24</v>
      </c>
      <c r="L309" t="s">
        <v>27</v>
      </c>
      <c r="M309" t="s">
        <v>22</v>
      </c>
      <c r="N309" t="s">
        <v>53</v>
      </c>
      <c r="O309" s="7">
        <f>الجدول1[[#This Row],[Discount]]*1</f>
        <v>0.24</v>
      </c>
      <c r="P309">
        <f>الجدول1[[#This Row],[Sales_Amount]]*(1-الجدول1[[#This Row],[Discount]])</f>
        <v>7005.5660000000007</v>
      </c>
    </row>
    <row r="310" spans="1:16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 s="7">
        <v>0.18</v>
      </c>
      <c r="L310" t="s">
        <v>31</v>
      </c>
      <c r="M310" t="s">
        <v>22</v>
      </c>
      <c r="N310" t="s">
        <v>45</v>
      </c>
      <c r="O310" s="7">
        <f>الجدول1[[#This Row],[Discount]]*1</f>
        <v>0.18</v>
      </c>
      <c r="P310">
        <f>الجدول1[[#This Row],[Sales_Amount]]*(1-الجدول1[[#This Row],[Discount]])</f>
        <v>5720.7218000000003</v>
      </c>
    </row>
    <row r="311" spans="1:16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 s="7">
        <v>0.09</v>
      </c>
      <c r="L311" t="s">
        <v>31</v>
      </c>
      <c r="M311" t="s">
        <v>22</v>
      </c>
      <c r="N311" t="s">
        <v>23</v>
      </c>
      <c r="O311" s="7">
        <f>الجدول1[[#This Row],[Discount]]*1</f>
        <v>0.09</v>
      </c>
      <c r="P311">
        <f>الجدول1[[#This Row],[Sales_Amount]]*(1-الجدول1[[#This Row],[Discount]])</f>
        <v>6658.3881000000001</v>
      </c>
    </row>
    <row r="312" spans="1:16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 s="7">
        <v>0.27</v>
      </c>
      <c r="L312" t="s">
        <v>31</v>
      </c>
      <c r="M312" t="s">
        <v>22</v>
      </c>
      <c r="N312" t="s">
        <v>32</v>
      </c>
      <c r="O312" s="7">
        <f>الجدول1[[#This Row],[Discount]]*1</f>
        <v>0.27</v>
      </c>
      <c r="P312">
        <f>الجدول1[[#This Row],[Sales_Amount]]*(1-الجدول1[[#This Row],[Discount]])</f>
        <v>6300.4402</v>
      </c>
    </row>
    <row r="313" spans="1:16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 s="7">
        <v>0.25</v>
      </c>
      <c r="L313" t="s">
        <v>31</v>
      </c>
      <c r="M313" t="s">
        <v>19</v>
      </c>
      <c r="N313" t="s">
        <v>39</v>
      </c>
      <c r="O313" s="7">
        <f>الجدول1[[#This Row],[Discount]]*1</f>
        <v>0.25</v>
      </c>
      <c r="P313">
        <f>الجدول1[[#This Row],[Sales_Amount]]*(1-الجدول1[[#This Row],[Discount]])</f>
        <v>2109.9825000000001</v>
      </c>
    </row>
    <row r="314" spans="1:16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 s="7">
        <v>0.14000000000000001</v>
      </c>
      <c r="L314" t="s">
        <v>18</v>
      </c>
      <c r="M314" t="s">
        <v>22</v>
      </c>
      <c r="N314" t="s">
        <v>50</v>
      </c>
      <c r="O314" s="7">
        <f>الجدول1[[#This Row],[Discount]]*1</f>
        <v>0.14000000000000001</v>
      </c>
      <c r="P314">
        <f>الجدول1[[#This Row],[Sales_Amount]]*(1-الجدول1[[#This Row],[Discount]])</f>
        <v>6957.4</v>
      </c>
    </row>
    <row r="315" spans="1:16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 s="7">
        <v>0.01</v>
      </c>
      <c r="L315" t="s">
        <v>27</v>
      </c>
      <c r="M315" t="s">
        <v>22</v>
      </c>
      <c r="N315" t="s">
        <v>39</v>
      </c>
      <c r="O315" s="7">
        <f>الجدول1[[#This Row],[Discount]]*1</f>
        <v>0.01</v>
      </c>
      <c r="P315">
        <f>الجدول1[[#This Row],[Sales_Amount]]*(1-الجدول1[[#This Row],[Discount]])</f>
        <v>2012.5512000000001</v>
      </c>
    </row>
    <row r="316" spans="1:16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 s="7">
        <v>0.19</v>
      </c>
      <c r="L316" t="s">
        <v>27</v>
      </c>
      <c r="M316" t="s">
        <v>19</v>
      </c>
      <c r="N316" t="s">
        <v>43</v>
      </c>
      <c r="O316" s="7">
        <f>الجدول1[[#This Row],[Discount]]*1</f>
        <v>0.19</v>
      </c>
      <c r="P316">
        <f>الجدول1[[#This Row],[Sales_Amount]]*(1-الجدول1[[#This Row],[Discount]])</f>
        <v>2850.3009000000002</v>
      </c>
    </row>
    <row r="317" spans="1:16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 s="7">
        <v>0.02</v>
      </c>
      <c r="L317" t="s">
        <v>31</v>
      </c>
      <c r="M317" t="s">
        <v>22</v>
      </c>
      <c r="N317" t="s">
        <v>45</v>
      </c>
      <c r="O317" s="7">
        <f>الجدول1[[#This Row],[Discount]]*1</f>
        <v>0.02</v>
      </c>
      <c r="P317">
        <f>الجدول1[[#This Row],[Sales_Amount]]*(1-الجدول1[[#This Row],[Discount]])</f>
        <v>3354.0891999999999</v>
      </c>
    </row>
    <row r="318" spans="1:16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 s="7">
        <v>0.28000000000000003</v>
      </c>
      <c r="L318" t="s">
        <v>31</v>
      </c>
      <c r="M318" t="s">
        <v>22</v>
      </c>
      <c r="N318" t="s">
        <v>53</v>
      </c>
      <c r="O318" s="7">
        <f>الجدول1[[#This Row],[Discount]]*1</f>
        <v>0.28000000000000003</v>
      </c>
      <c r="P318">
        <f>الجدول1[[#This Row],[Sales_Amount]]*(1-الجدول1[[#This Row],[Discount]])</f>
        <v>7046.9279999999999</v>
      </c>
    </row>
    <row r="319" spans="1:16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 s="7">
        <v>0.28999999999999998</v>
      </c>
      <c r="L319" t="s">
        <v>27</v>
      </c>
      <c r="M319" t="s">
        <v>19</v>
      </c>
      <c r="N319" t="s">
        <v>51</v>
      </c>
      <c r="O319" s="7">
        <f>الجدول1[[#This Row],[Discount]]*1</f>
        <v>0.28999999999999998</v>
      </c>
      <c r="P319">
        <f>الجدول1[[#This Row],[Sales_Amount]]*(1-الجدول1[[#This Row],[Discount]])</f>
        <v>6091.6011999999992</v>
      </c>
    </row>
    <row r="320" spans="1:16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 s="7">
        <v>0.06</v>
      </c>
      <c r="L320" t="s">
        <v>18</v>
      </c>
      <c r="M320" t="s">
        <v>22</v>
      </c>
      <c r="N320" t="s">
        <v>49</v>
      </c>
      <c r="O320" s="7">
        <f>الجدول1[[#This Row],[Discount]]*1</f>
        <v>0.06</v>
      </c>
      <c r="P320">
        <f>الجدول1[[#This Row],[Sales_Amount]]*(1-الجدول1[[#This Row],[Discount]])</f>
        <v>6619.0851999999995</v>
      </c>
    </row>
    <row r="321" spans="1:16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 s="7">
        <v>0.2</v>
      </c>
      <c r="L321" t="s">
        <v>27</v>
      </c>
      <c r="M321" t="s">
        <v>19</v>
      </c>
      <c r="N321" t="s">
        <v>53</v>
      </c>
      <c r="O321" s="7">
        <f>الجدول1[[#This Row],[Discount]]*1</f>
        <v>0.2</v>
      </c>
      <c r="P321">
        <f>الجدول1[[#This Row],[Sales_Amount]]*(1-الجدول1[[#This Row],[Discount]])</f>
        <v>5838.2880000000005</v>
      </c>
    </row>
    <row r="322" spans="1:16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 s="7">
        <v>0.03</v>
      </c>
      <c r="L322" t="s">
        <v>31</v>
      </c>
      <c r="M322" t="s">
        <v>22</v>
      </c>
      <c r="N322" t="s">
        <v>49</v>
      </c>
      <c r="O322" s="7">
        <f>الجدول1[[#This Row],[Discount]]*1</f>
        <v>0.03</v>
      </c>
      <c r="P322">
        <f>الجدول1[[#This Row],[Sales_Amount]]*(1-الجدول1[[#This Row],[Discount]])</f>
        <v>5494.5844000000006</v>
      </c>
    </row>
    <row r="323" spans="1:16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 s="7">
        <v>0.22</v>
      </c>
      <c r="L323" t="s">
        <v>31</v>
      </c>
      <c r="M323" t="s">
        <v>19</v>
      </c>
      <c r="N323" t="s">
        <v>45</v>
      </c>
      <c r="O323" s="7">
        <f>الجدول1[[#This Row],[Discount]]*1</f>
        <v>0.22</v>
      </c>
      <c r="P323">
        <f>الجدول1[[#This Row],[Sales_Amount]]*(1-الجدول1[[#This Row],[Discount]])</f>
        <v>7391.4360000000006</v>
      </c>
    </row>
    <row r="324" spans="1:16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 s="7">
        <v>0.1</v>
      </c>
      <c r="L324" t="s">
        <v>18</v>
      </c>
      <c r="M324" t="s">
        <v>19</v>
      </c>
      <c r="N324" t="s">
        <v>41</v>
      </c>
      <c r="O324" s="7">
        <f>الجدول1[[#This Row],[Discount]]*1</f>
        <v>0.1</v>
      </c>
      <c r="P324">
        <f>الجدول1[[#This Row],[Sales_Amount]]*(1-الجدول1[[#This Row],[Discount]])</f>
        <v>4511.6639999999998</v>
      </c>
    </row>
    <row r="325" spans="1:16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 s="7">
        <v>0.2</v>
      </c>
      <c r="L325" t="s">
        <v>27</v>
      </c>
      <c r="M325" t="s">
        <v>19</v>
      </c>
      <c r="N325" t="s">
        <v>49</v>
      </c>
      <c r="O325" s="7">
        <f>الجدول1[[#This Row],[Discount]]*1</f>
        <v>0.2</v>
      </c>
      <c r="P325">
        <f>الجدول1[[#This Row],[Sales_Amount]]*(1-الجدول1[[#This Row],[Discount]])</f>
        <v>3093.7040000000002</v>
      </c>
    </row>
    <row r="326" spans="1:16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 s="7">
        <v>0.11</v>
      </c>
      <c r="L326" t="s">
        <v>18</v>
      </c>
      <c r="M326" t="s">
        <v>22</v>
      </c>
      <c r="N326" t="s">
        <v>50</v>
      </c>
      <c r="O326" s="7">
        <f>الجدول1[[#This Row],[Discount]]*1</f>
        <v>0.11</v>
      </c>
      <c r="P326">
        <f>الجدول1[[#This Row],[Sales_Amount]]*(1-الجدول1[[#This Row],[Discount]])</f>
        <v>1525.5045</v>
      </c>
    </row>
    <row r="327" spans="1:16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 s="7">
        <v>0.04</v>
      </c>
      <c r="L327" t="s">
        <v>18</v>
      </c>
      <c r="M327" t="s">
        <v>22</v>
      </c>
      <c r="N327" t="s">
        <v>46</v>
      </c>
      <c r="O327" s="7">
        <f>الجدول1[[#This Row],[Discount]]*1</f>
        <v>0.04</v>
      </c>
      <c r="P327">
        <f>الجدول1[[#This Row],[Sales_Amount]]*(1-الجدول1[[#This Row],[Discount]])</f>
        <v>7568.1023999999998</v>
      </c>
    </row>
    <row r="328" spans="1:16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 s="7">
        <v>0.12</v>
      </c>
      <c r="L328" t="s">
        <v>31</v>
      </c>
      <c r="M328" t="s">
        <v>19</v>
      </c>
      <c r="N328" t="s">
        <v>50</v>
      </c>
      <c r="O328" s="7">
        <f>الجدول1[[#This Row],[Discount]]*1</f>
        <v>0.12</v>
      </c>
      <c r="P328">
        <f>الجدول1[[#This Row],[Sales_Amount]]*(1-الجدول1[[#This Row],[Discount]])</f>
        <v>6486.4712</v>
      </c>
    </row>
    <row r="329" spans="1:16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 s="7">
        <v>0.03</v>
      </c>
      <c r="L329" t="s">
        <v>27</v>
      </c>
      <c r="M329" t="s">
        <v>19</v>
      </c>
      <c r="N329" t="s">
        <v>48</v>
      </c>
      <c r="O329" s="7">
        <f>الجدول1[[#This Row],[Discount]]*1</f>
        <v>0.03</v>
      </c>
      <c r="P329">
        <f>الجدول1[[#This Row],[Sales_Amount]]*(1-الجدول1[[#This Row],[Discount]])</f>
        <v>3787.9567000000002</v>
      </c>
    </row>
    <row r="330" spans="1:16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 s="7">
        <v>0.17</v>
      </c>
      <c r="L330" t="s">
        <v>31</v>
      </c>
      <c r="M330" t="s">
        <v>22</v>
      </c>
      <c r="N330" t="s">
        <v>45</v>
      </c>
      <c r="O330" s="7">
        <f>الجدول1[[#This Row],[Discount]]*1</f>
        <v>0.17</v>
      </c>
      <c r="P330">
        <f>الجدول1[[#This Row],[Sales_Amount]]*(1-الجدول1[[#This Row],[Discount]])</f>
        <v>290.01030000000003</v>
      </c>
    </row>
    <row r="331" spans="1:16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 s="7">
        <v>0.01</v>
      </c>
      <c r="L331" t="s">
        <v>27</v>
      </c>
      <c r="M331" t="s">
        <v>22</v>
      </c>
      <c r="N331" t="s">
        <v>36</v>
      </c>
      <c r="O331" s="7">
        <f>الجدول1[[#This Row],[Discount]]*1</f>
        <v>0.01</v>
      </c>
      <c r="P331">
        <f>الجدول1[[#This Row],[Sales_Amount]]*(1-الجدول1[[#This Row],[Discount]])</f>
        <v>8322.0092999999997</v>
      </c>
    </row>
    <row r="332" spans="1:16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 s="7">
        <v>0.16</v>
      </c>
      <c r="L332" t="s">
        <v>31</v>
      </c>
      <c r="M332" t="s">
        <v>22</v>
      </c>
      <c r="N332" t="s">
        <v>40</v>
      </c>
      <c r="O332" s="7">
        <f>الجدول1[[#This Row],[Discount]]*1</f>
        <v>0.16</v>
      </c>
      <c r="P332">
        <f>الجدول1[[#This Row],[Sales_Amount]]*(1-الجدول1[[#This Row],[Discount]])</f>
        <v>178.95359999999999</v>
      </c>
    </row>
    <row r="333" spans="1:16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 s="7">
        <v>0.27</v>
      </c>
      <c r="L333" t="s">
        <v>31</v>
      </c>
      <c r="M333" t="s">
        <v>22</v>
      </c>
      <c r="N333" t="s">
        <v>23</v>
      </c>
      <c r="O333" s="7">
        <f>الجدول1[[#This Row],[Discount]]*1</f>
        <v>0.27</v>
      </c>
      <c r="P333">
        <f>الجدول1[[#This Row],[Sales_Amount]]*(1-الجدول1[[#This Row],[Discount]])</f>
        <v>5158.6399000000001</v>
      </c>
    </row>
    <row r="334" spans="1:16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 s="7">
        <v>0.25</v>
      </c>
      <c r="L334" t="s">
        <v>27</v>
      </c>
      <c r="M334" t="s">
        <v>22</v>
      </c>
      <c r="N334" t="s">
        <v>36</v>
      </c>
      <c r="O334" s="7">
        <f>الجدول1[[#This Row],[Discount]]*1</f>
        <v>0.25</v>
      </c>
      <c r="P334">
        <f>الجدول1[[#This Row],[Sales_Amount]]*(1-الجدول1[[#This Row],[Discount]])</f>
        <v>7279.1624999999995</v>
      </c>
    </row>
    <row r="335" spans="1:16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 s="7">
        <v>0.26</v>
      </c>
      <c r="L335" t="s">
        <v>27</v>
      </c>
      <c r="M335" t="s">
        <v>19</v>
      </c>
      <c r="N335" t="s">
        <v>28</v>
      </c>
      <c r="O335" s="7">
        <f>الجدول1[[#This Row],[Discount]]*1</f>
        <v>0.26</v>
      </c>
      <c r="P335">
        <f>الجدول1[[#This Row],[Sales_Amount]]*(1-الجدول1[[#This Row],[Discount]])</f>
        <v>3280.3090000000002</v>
      </c>
    </row>
    <row r="336" spans="1:16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 s="7">
        <v>0.28000000000000003</v>
      </c>
      <c r="L336" t="s">
        <v>31</v>
      </c>
      <c r="M336" t="s">
        <v>22</v>
      </c>
      <c r="N336" t="s">
        <v>48</v>
      </c>
      <c r="O336" s="7">
        <f>الجدول1[[#This Row],[Discount]]*1</f>
        <v>0.28000000000000003</v>
      </c>
      <c r="P336">
        <f>الجدول1[[#This Row],[Sales_Amount]]*(1-الجدول1[[#This Row],[Discount]])</f>
        <v>1746.8927999999999</v>
      </c>
    </row>
    <row r="337" spans="1:16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 s="7">
        <v>0.03</v>
      </c>
      <c r="L337" t="s">
        <v>27</v>
      </c>
      <c r="M337" t="s">
        <v>19</v>
      </c>
      <c r="N337" t="s">
        <v>46</v>
      </c>
      <c r="O337" s="7">
        <f>الجدول1[[#This Row],[Discount]]*1</f>
        <v>0.03</v>
      </c>
      <c r="P337">
        <f>الجدول1[[#This Row],[Sales_Amount]]*(1-الجدول1[[#This Row],[Discount]])</f>
        <v>6865.8734000000004</v>
      </c>
    </row>
    <row r="338" spans="1:16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 s="7">
        <v>0.04</v>
      </c>
      <c r="L338" t="s">
        <v>31</v>
      </c>
      <c r="M338" t="s">
        <v>22</v>
      </c>
      <c r="N338" t="s">
        <v>53</v>
      </c>
      <c r="O338" s="7">
        <f>الجدول1[[#This Row],[Discount]]*1</f>
        <v>0.04</v>
      </c>
      <c r="P338">
        <f>الجدول1[[#This Row],[Sales_Amount]]*(1-الجدول1[[#This Row],[Discount]])</f>
        <v>7861.9871999999996</v>
      </c>
    </row>
    <row r="339" spans="1:16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 s="7">
        <v>0.17</v>
      </c>
      <c r="L339" t="s">
        <v>27</v>
      </c>
      <c r="M339" t="s">
        <v>19</v>
      </c>
      <c r="N339" t="s">
        <v>46</v>
      </c>
      <c r="O339" s="7">
        <f>الجدول1[[#This Row],[Discount]]*1</f>
        <v>0.17</v>
      </c>
      <c r="P339">
        <f>الجدول1[[#This Row],[Sales_Amount]]*(1-الجدول1[[#This Row],[Discount]])</f>
        <v>4573.0177999999996</v>
      </c>
    </row>
    <row r="340" spans="1:16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 s="7">
        <v>0.27</v>
      </c>
      <c r="L340" t="s">
        <v>31</v>
      </c>
      <c r="M340" t="s">
        <v>19</v>
      </c>
      <c r="N340" t="s">
        <v>28</v>
      </c>
      <c r="O340" s="7">
        <f>الجدول1[[#This Row],[Discount]]*1</f>
        <v>0.27</v>
      </c>
      <c r="P340">
        <f>الجدول1[[#This Row],[Sales_Amount]]*(1-الجدول1[[#This Row],[Discount]])</f>
        <v>7061.7644999999993</v>
      </c>
    </row>
    <row r="341" spans="1:16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 s="7">
        <v>0.28999999999999998</v>
      </c>
      <c r="L341" t="s">
        <v>31</v>
      </c>
      <c r="M341" t="s">
        <v>22</v>
      </c>
      <c r="N341" t="s">
        <v>20</v>
      </c>
      <c r="O341" s="7">
        <f>الجدول1[[#This Row],[Discount]]*1</f>
        <v>0.28999999999999998</v>
      </c>
      <c r="P341">
        <f>الجدول1[[#This Row],[Sales_Amount]]*(1-الجدول1[[#This Row],[Discount]])</f>
        <v>434.17919999999998</v>
      </c>
    </row>
    <row r="342" spans="1:16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 s="7">
        <v>0.01</v>
      </c>
      <c r="L342" t="s">
        <v>31</v>
      </c>
      <c r="M342" t="s">
        <v>19</v>
      </c>
      <c r="N342" t="s">
        <v>49</v>
      </c>
      <c r="O342" s="7">
        <f>الجدول1[[#This Row],[Discount]]*1</f>
        <v>0.01</v>
      </c>
      <c r="P342">
        <f>الجدول1[[#This Row],[Sales_Amount]]*(1-الجدول1[[#This Row],[Discount]])</f>
        <v>5046.5051999999996</v>
      </c>
    </row>
    <row r="343" spans="1:16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 s="7">
        <v>0.11</v>
      </c>
      <c r="L343" t="s">
        <v>18</v>
      </c>
      <c r="M343" t="s">
        <v>19</v>
      </c>
      <c r="N343" t="s">
        <v>37</v>
      </c>
      <c r="O343" s="7">
        <f>الجدول1[[#This Row],[Discount]]*1</f>
        <v>0.11</v>
      </c>
      <c r="P343">
        <f>الجدول1[[#This Row],[Sales_Amount]]*(1-الجدول1[[#This Row],[Discount]])</f>
        <v>6419.2941000000001</v>
      </c>
    </row>
    <row r="344" spans="1:16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 s="7">
        <v>0.06</v>
      </c>
      <c r="L344" t="s">
        <v>27</v>
      </c>
      <c r="M344" t="s">
        <v>19</v>
      </c>
      <c r="N344" t="s">
        <v>23</v>
      </c>
      <c r="O344" s="7">
        <f>الجدول1[[#This Row],[Discount]]*1</f>
        <v>0.06</v>
      </c>
      <c r="P344">
        <f>الجدول1[[#This Row],[Sales_Amount]]*(1-الجدول1[[#This Row],[Discount]])</f>
        <v>8121.7315999999992</v>
      </c>
    </row>
    <row r="345" spans="1:16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 s="7">
        <v>0.23</v>
      </c>
      <c r="L345" t="s">
        <v>31</v>
      </c>
      <c r="M345" t="s">
        <v>19</v>
      </c>
      <c r="N345" t="s">
        <v>50</v>
      </c>
      <c r="O345" s="7">
        <f>الجدول1[[#This Row],[Discount]]*1</f>
        <v>0.23</v>
      </c>
      <c r="P345">
        <f>الجدول1[[#This Row],[Sales_Amount]]*(1-الجدول1[[#This Row],[Discount]])</f>
        <v>1443.4651000000001</v>
      </c>
    </row>
    <row r="346" spans="1:16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 s="7">
        <v>0.19</v>
      </c>
      <c r="L346" t="s">
        <v>18</v>
      </c>
      <c r="M346" t="s">
        <v>22</v>
      </c>
      <c r="N346" t="s">
        <v>47</v>
      </c>
      <c r="O346" s="7">
        <f>الجدول1[[#This Row],[Discount]]*1</f>
        <v>0.19</v>
      </c>
      <c r="P346">
        <f>الجدول1[[#This Row],[Sales_Amount]]*(1-الجدول1[[#This Row],[Discount]])</f>
        <v>6496.2242999999999</v>
      </c>
    </row>
    <row r="347" spans="1:16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 s="7">
        <v>0.04</v>
      </c>
      <c r="L347" t="s">
        <v>31</v>
      </c>
      <c r="M347" t="s">
        <v>19</v>
      </c>
      <c r="N347" t="s">
        <v>23</v>
      </c>
      <c r="O347" s="7">
        <f>الجدول1[[#This Row],[Discount]]*1</f>
        <v>0.04</v>
      </c>
      <c r="P347">
        <f>الجدول1[[#This Row],[Sales_Amount]]*(1-الجدول1[[#This Row],[Discount]])</f>
        <v>5348.9279999999999</v>
      </c>
    </row>
    <row r="348" spans="1:16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 s="7">
        <v>0.15</v>
      </c>
      <c r="L348" t="s">
        <v>18</v>
      </c>
      <c r="M348" t="s">
        <v>22</v>
      </c>
      <c r="N348" t="s">
        <v>47</v>
      </c>
      <c r="O348" s="7">
        <f>الجدول1[[#This Row],[Discount]]*1</f>
        <v>0.15</v>
      </c>
      <c r="P348">
        <f>الجدول1[[#This Row],[Sales_Amount]]*(1-الجدول1[[#This Row],[Discount]])</f>
        <v>3421.998</v>
      </c>
    </row>
    <row r="349" spans="1:16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 s="7">
        <v>0.21</v>
      </c>
      <c r="L349" t="s">
        <v>31</v>
      </c>
      <c r="M349" t="s">
        <v>19</v>
      </c>
      <c r="N349" t="s">
        <v>40</v>
      </c>
      <c r="O349" s="7">
        <f>الجدول1[[#This Row],[Discount]]*1</f>
        <v>0.21</v>
      </c>
      <c r="P349">
        <f>الجدول1[[#This Row],[Sales_Amount]]*(1-الجدول1[[#This Row],[Discount]])</f>
        <v>1109.1442</v>
      </c>
    </row>
    <row r="350" spans="1:16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 s="7">
        <v>0.23</v>
      </c>
      <c r="L350" t="s">
        <v>31</v>
      </c>
      <c r="M350" t="s">
        <v>22</v>
      </c>
      <c r="N350" t="s">
        <v>40</v>
      </c>
      <c r="O350" s="7">
        <f>الجدول1[[#This Row],[Discount]]*1</f>
        <v>0.23</v>
      </c>
      <c r="P350">
        <f>الجدول1[[#This Row],[Sales_Amount]]*(1-الجدول1[[#This Row],[Discount]])</f>
        <v>6673.1511</v>
      </c>
    </row>
    <row r="351" spans="1:16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 s="7">
        <v>0.01</v>
      </c>
      <c r="L351" t="s">
        <v>18</v>
      </c>
      <c r="M351" t="s">
        <v>22</v>
      </c>
      <c r="N351" t="s">
        <v>40</v>
      </c>
      <c r="O351" s="7">
        <f>الجدول1[[#This Row],[Discount]]*1</f>
        <v>0.01</v>
      </c>
      <c r="P351">
        <f>الجدول1[[#This Row],[Sales_Amount]]*(1-الجدول1[[#This Row],[Discount]])</f>
        <v>1640.43</v>
      </c>
    </row>
    <row r="352" spans="1:16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 s="7">
        <v>0.27</v>
      </c>
      <c r="L352" t="s">
        <v>18</v>
      </c>
      <c r="M352" t="s">
        <v>22</v>
      </c>
      <c r="N352" t="s">
        <v>51</v>
      </c>
      <c r="O352" s="7">
        <f>الجدول1[[#This Row],[Discount]]*1</f>
        <v>0.27</v>
      </c>
      <c r="P352">
        <f>الجدول1[[#This Row],[Sales_Amount]]*(1-الجدول1[[#This Row],[Discount]])</f>
        <v>2311.837</v>
      </c>
    </row>
    <row r="353" spans="1:16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 s="7">
        <v>0.17</v>
      </c>
      <c r="L353" t="s">
        <v>27</v>
      </c>
      <c r="M353" t="s">
        <v>19</v>
      </c>
      <c r="N353" t="s">
        <v>20</v>
      </c>
      <c r="O353" s="7">
        <f>الجدول1[[#This Row],[Discount]]*1</f>
        <v>0.17</v>
      </c>
      <c r="P353">
        <f>الجدول1[[#This Row],[Sales_Amount]]*(1-الجدول1[[#This Row],[Discount]])</f>
        <v>2466.3034999999995</v>
      </c>
    </row>
    <row r="354" spans="1:16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 s="7">
        <v>0.24</v>
      </c>
      <c r="L354" t="s">
        <v>27</v>
      </c>
      <c r="M354" t="s">
        <v>22</v>
      </c>
      <c r="N354" t="s">
        <v>51</v>
      </c>
      <c r="O354" s="7">
        <f>الجدول1[[#This Row],[Discount]]*1</f>
        <v>0.24</v>
      </c>
      <c r="P354">
        <f>الجدول1[[#This Row],[Sales_Amount]]*(1-الجدول1[[#This Row],[Discount]])</f>
        <v>6632.52</v>
      </c>
    </row>
    <row r="355" spans="1:16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 s="7">
        <v>0.24</v>
      </c>
      <c r="L355" t="s">
        <v>18</v>
      </c>
      <c r="M355" t="s">
        <v>22</v>
      </c>
      <c r="N355" t="s">
        <v>45</v>
      </c>
      <c r="O355" s="7">
        <f>الجدول1[[#This Row],[Discount]]*1</f>
        <v>0.24</v>
      </c>
      <c r="P355">
        <f>الجدول1[[#This Row],[Sales_Amount]]*(1-الجدول1[[#This Row],[Discount]])</f>
        <v>5137.4176000000007</v>
      </c>
    </row>
    <row r="356" spans="1:16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 s="7">
        <v>0.06</v>
      </c>
      <c r="L356" t="s">
        <v>27</v>
      </c>
      <c r="M356" t="s">
        <v>19</v>
      </c>
      <c r="N356" t="s">
        <v>49</v>
      </c>
      <c r="O356" s="7">
        <f>الجدول1[[#This Row],[Discount]]*1</f>
        <v>0.06</v>
      </c>
      <c r="P356">
        <f>الجدول1[[#This Row],[Sales_Amount]]*(1-الجدول1[[#This Row],[Discount]])</f>
        <v>7507.9209999999994</v>
      </c>
    </row>
    <row r="357" spans="1:16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 s="7">
        <v>0.03</v>
      </c>
      <c r="L357" t="s">
        <v>18</v>
      </c>
      <c r="M357" t="s">
        <v>22</v>
      </c>
      <c r="N357" t="s">
        <v>28</v>
      </c>
      <c r="O357" s="7">
        <f>الجدول1[[#This Row],[Discount]]*1</f>
        <v>0.03</v>
      </c>
      <c r="P357">
        <f>الجدول1[[#This Row],[Sales_Amount]]*(1-الجدول1[[#This Row],[Discount]])</f>
        <v>2502.2411000000002</v>
      </c>
    </row>
    <row r="358" spans="1:16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 s="7">
        <v>0.22</v>
      </c>
      <c r="L358" t="s">
        <v>27</v>
      </c>
      <c r="M358" t="s">
        <v>19</v>
      </c>
      <c r="N358" t="s">
        <v>50</v>
      </c>
      <c r="O358" s="7">
        <f>الجدول1[[#This Row],[Discount]]*1</f>
        <v>0.22</v>
      </c>
      <c r="P358">
        <f>الجدول1[[#This Row],[Sales_Amount]]*(1-الجدول1[[#This Row],[Discount]])</f>
        <v>4903.2750000000005</v>
      </c>
    </row>
    <row r="359" spans="1:16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 s="7">
        <v>0.05</v>
      </c>
      <c r="L359" t="s">
        <v>31</v>
      </c>
      <c r="M359" t="s">
        <v>19</v>
      </c>
      <c r="N359" t="s">
        <v>37</v>
      </c>
      <c r="O359" s="7">
        <f>الجدول1[[#This Row],[Discount]]*1</f>
        <v>0.05</v>
      </c>
      <c r="P359">
        <f>الجدول1[[#This Row],[Sales_Amount]]*(1-الجدول1[[#This Row],[Discount]])</f>
        <v>5472.2754999999997</v>
      </c>
    </row>
    <row r="360" spans="1:16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 s="7">
        <v>0.25</v>
      </c>
      <c r="L360" t="s">
        <v>27</v>
      </c>
      <c r="M360" t="s">
        <v>22</v>
      </c>
      <c r="N360" t="s">
        <v>39</v>
      </c>
      <c r="O360" s="7">
        <f>الجدول1[[#This Row],[Discount]]*1</f>
        <v>0.25</v>
      </c>
      <c r="P360">
        <f>الجدول1[[#This Row],[Sales_Amount]]*(1-الجدول1[[#This Row],[Discount]])</f>
        <v>6258.7650000000003</v>
      </c>
    </row>
    <row r="361" spans="1:16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 s="7">
        <v>0.22</v>
      </c>
      <c r="L361" t="s">
        <v>31</v>
      </c>
      <c r="M361" t="s">
        <v>19</v>
      </c>
      <c r="N361" t="s">
        <v>45</v>
      </c>
      <c r="O361" s="7">
        <f>الجدول1[[#This Row],[Discount]]*1</f>
        <v>0.22</v>
      </c>
      <c r="P361">
        <f>الجدول1[[#This Row],[Sales_Amount]]*(1-الجدول1[[#This Row],[Discount]])</f>
        <v>7074.8028000000004</v>
      </c>
    </row>
    <row r="362" spans="1:16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 s="7">
        <v>0.25</v>
      </c>
      <c r="L362" t="s">
        <v>31</v>
      </c>
      <c r="M362" t="s">
        <v>19</v>
      </c>
      <c r="N362" t="s">
        <v>37</v>
      </c>
      <c r="O362" s="7">
        <f>الجدول1[[#This Row],[Discount]]*1</f>
        <v>0.25</v>
      </c>
      <c r="P362">
        <f>الجدول1[[#This Row],[Sales_Amount]]*(1-الجدول1[[#This Row],[Discount]])</f>
        <v>165.26249999999999</v>
      </c>
    </row>
    <row r="363" spans="1:16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 s="7">
        <v>0.09</v>
      </c>
      <c r="L363" t="s">
        <v>27</v>
      </c>
      <c r="M363" t="s">
        <v>19</v>
      </c>
      <c r="N363" t="s">
        <v>40</v>
      </c>
      <c r="O363" s="7">
        <f>الجدول1[[#This Row],[Discount]]*1</f>
        <v>0.09</v>
      </c>
      <c r="P363">
        <f>الجدول1[[#This Row],[Sales_Amount]]*(1-الجدول1[[#This Row],[Discount]])</f>
        <v>6163.2480000000005</v>
      </c>
    </row>
    <row r="364" spans="1:16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 s="7">
        <v>0.09</v>
      </c>
      <c r="L364" t="s">
        <v>18</v>
      </c>
      <c r="M364" t="s">
        <v>22</v>
      </c>
      <c r="N364" t="s">
        <v>50</v>
      </c>
      <c r="O364" s="7">
        <f>الجدول1[[#This Row],[Discount]]*1</f>
        <v>0.09</v>
      </c>
      <c r="P364">
        <f>الجدول1[[#This Row],[Sales_Amount]]*(1-الجدول1[[#This Row],[Discount]])</f>
        <v>557.98469999999998</v>
      </c>
    </row>
    <row r="365" spans="1:16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 s="7">
        <v>0.2</v>
      </c>
      <c r="L365" t="s">
        <v>31</v>
      </c>
      <c r="M365" t="s">
        <v>19</v>
      </c>
      <c r="N365" t="s">
        <v>28</v>
      </c>
      <c r="O365" s="7">
        <f>الجدول1[[#This Row],[Discount]]*1</f>
        <v>0.2</v>
      </c>
      <c r="P365">
        <f>الجدول1[[#This Row],[Sales_Amount]]*(1-الجدول1[[#This Row],[Discount]])</f>
        <v>4426.96</v>
      </c>
    </row>
    <row r="366" spans="1:16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 s="7">
        <v>0.01</v>
      </c>
      <c r="L366" t="s">
        <v>31</v>
      </c>
      <c r="M366" t="s">
        <v>19</v>
      </c>
      <c r="N366" t="s">
        <v>52</v>
      </c>
      <c r="O366" s="7">
        <f>الجدول1[[#This Row],[Discount]]*1</f>
        <v>0.01</v>
      </c>
      <c r="P366">
        <f>الجدول1[[#This Row],[Sales_Amount]]*(1-الجدول1[[#This Row],[Discount]])</f>
        <v>2918.0843999999997</v>
      </c>
    </row>
    <row r="367" spans="1:16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 s="7">
        <v>0.22</v>
      </c>
      <c r="L367" t="s">
        <v>27</v>
      </c>
      <c r="M367" t="s">
        <v>19</v>
      </c>
      <c r="N367" t="s">
        <v>43</v>
      </c>
      <c r="O367" s="7">
        <f>الجدول1[[#This Row],[Discount]]*1</f>
        <v>0.22</v>
      </c>
      <c r="P367">
        <f>الجدول1[[#This Row],[Sales_Amount]]*(1-الجدول1[[#This Row],[Discount]])</f>
        <v>2446.9302000000002</v>
      </c>
    </row>
    <row r="368" spans="1:16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 s="7">
        <v>0.25</v>
      </c>
      <c r="L368" t="s">
        <v>18</v>
      </c>
      <c r="M368" t="s">
        <v>22</v>
      </c>
      <c r="N368" t="s">
        <v>40</v>
      </c>
      <c r="O368" s="7">
        <f>الجدول1[[#This Row],[Discount]]*1</f>
        <v>0.25</v>
      </c>
      <c r="P368">
        <f>الجدول1[[#This Row],[Sales_Amount]]*(1-الجدول1[[#This Row],[Discount]])</f>
        <v>2695.7174999999997</v>
      </c>
    </row>
    <row r="369" spans="1:16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 s="7">
        <v>0.12</v>
      </c>
      <c r="L369" t="s">
        <v>18</v>
      </c>
      <c r="M369" t="s">
        <v>19</v>
      </c>
      <c r="N369" t="s">
        <v>50</v>
      </c>
      <c r="O369" s="7">
        <f>الجدول1[[#This Row],[Discount]]*1</f>
        <v>0.12</v>
      </c>
      <c r="P369">
        <f>الجدول1[[#This Row],[Sales_Amount]]*(1-الجدول1[[#This Row],[Discount]])</f>
        <v>5500.7040000000006</v>
      </c>
    </row>
    <row r="370" spans="1:16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 s="7">
        <v>0.23</v>
      </c>
      <c r="L370" t="s">
        <v>27</v>
      </c>
      <c r="M370" t="s">
        <v>22</v>
      </c>
      <c r="N370" t="s">
        <v>46</v>
      </c>
      <c r="O370" s="7">
        <f>الجدول1[[#This Row],[Discount]]*1</f>
        <v>0.23</v>
      </c>
      <c r="P370">
        <f>الجدول1[[#This Row],[Sales_Amount]]*(1-الجدول1[[#This Row],[Discount]])</f>
        <v>2623.4593</v>
      </c>
    </row>
    <row r="371" spans="1:16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 s="7">
        <v>0.05</v>
      </c>
      <c r="L371" t="s">
        <v>18</v>
      </c>
      <c r="M371" t="s">
        <v>19</v>
      </c>
      <c r="N371" t="s">
        <v>49</v>
      </c>
      <c r="O371" s="7">
        <f>الجدول1[[#This Row],[Discount]]*1</f>
        <v>0.05</v>
      </c>
      <c r="P371">
        <f>الجدول1[[#This Row],[Sales_Amount]]*(1-الجدول1[[#This Row],[Discount]])</f>
        <v>6986.0339999999997</v>
      </c>
    </row>
    <row r="372" spans="1:16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 s="7">
        <v>0.1</v>
      </c>
      <c r="L372" t="s">
        <v>27</v>
      </c>
      <c r="M372" t="s">
        <v>22</v>
      </c>
      <c r="N372" t="s">
        <v>48</v>
      </c>
      <c r="O372" s="7">
        <f>الجدول1[[#This Row],[Discount]]*1</f>
        <v>0.1</v>
      </c>
      <c r="P372">
        <f>الجدول1[[#This Row],[Sales_Amount]]*(1-الجدول1[[#This Row],[Discount]])</f>
        <v>3694.3379999999997</v>
      </c>
    </row>
    <row r="373" spans="1:16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 s="7">
        <v>0.28999999999999998</v>
      </c>
      <c r="L373" t="s">
        <v>27</v>
      </c>
      <c r="M373" t="s">
        <v>22</v>
      </c>
      <c r="N373" t="s">
        <v>47</v>
      </c>
      <c r="O373" s="7">
        <f>الجدول1[[#This Row],[Discount]]*1</f>
        <v>0.28999999999999998</v>
      </c>
      <c r="P373">
        <f>الجدول1[[#This Row],[Sales_Amount]]*(1-الجدول1[[#This Row],[Discount]])</f>
        <v>551.45699999999999</v>
      </c>
    </row>
    <row r="374" spans="1:16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 s="7">
        <v>0.3</v>
      </c>
      <c r="L374" t="s">
        <v>27</v>
      </c>
      <c r="M374" t="s">
        <v>22</v>
      </c>
      <c r="N374" t="s">
        <v>28</v>
      </c>
      <c r="O374" s="7">
        <f>الجدول1[[#This Row],[Discount]]*1</f>
        <v>0.3</v>
      </c>
      <c r="P374">
        <f>الجدول1[[#This Row],[Sales_Amount]]*(1-الجدول1[[#This Row],[Discount]])</f>
        <v>5501.4539999999997</v>
      </c>
    </row>
    <row r="375" spans="1:16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 s="7">
        <v>0.15</v>
      </c>
      <c r="L375" t="s">
        <v>31</v>
      </c>
      <c r="M375" t="s">
        <v>19</v>
      </c>
      <c r="N375" t="s">
        <v>32</v>
      </c>
      <c r="O375" s="7">
        <f>الجدول1[[#This Row],[Discount]]*1</f>
        <v>0.15</v>
      </c>
      <c r="P375">
        <f>الجدول1[[#This Row],[Sales_Amount]]*(1-الجدول1[[#This Row],[Discount]])</f>
        <v>2489.6585</v>
      </c>
    </row>
    <row r="376" spans="1:16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 s="7">
        <v>0.28000000000000003</v>
      </c>
      <c r="L376" t="s">
        <v>31</v>
      </c>
      <c r="M376" t="s">
        <v>19</v>
      </c>
      <c r="N376" t="s">
        <v>39</v>
      </c>
      <c r="O376" s="7">
        <f>الجدول1[[#This Row],[Discount]]*1</f>
        <v>0.28000000000000003</v>
      </c>
      <c r="P376">
        <f>الجدول1[[#This Row],[Sales_Amount]]*(1-الجدول1[[#This Row],[Discount]])</f>
        <v>3156.7608</v>
      </c>
    </row>
    <row r="377" spans="1:16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 s="7">
        <v>0.16</v>
      </c>
      <c r="L377" t="s">
        <v>31</v>
      </c>
      <c r="M377" t="s">
        <v>19</v>
      </c>
      <c r="N377" t="s">
        <v>47</v>
      </c>
      <c r="O377" s="7">
        <f>الجدول1[[#This Row],[Discount]]*1</f>
        <v>0.16</v>
      </c>
      <c r="P377">
        <f>الجدول1[[#This Row],[Sales_Amount]]*(1-الجدول1[[#This Row],[Discount]])</f>
        <v>5784.1476000000002</v>
      </c>
    </row>
    <row r="378" spans="1:16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 s="7">
        <v>0.09</v>
      </c>
      <c r="L378" t="s">
        <v>27</v>
      </c>
      <c r="M378" t="s">
        <v>22</v>
      </c>
      <c r="N378" t="s">
        <v>43</v>
      </c>
      <c r="O378" s="7">
        <f>الجدول1[[#This Row],[Discount]]*1</f>
        <v>0.09</v>
      </c>
      <c r="P378">
        <f>الجدول1[[#This Row],[Sales_Amount]]*(1-الجدول1[[#This Row],[Discount]])</f>
        <v>3086.1012000000001</v>
      </c>
    </row>
    <row r="379" spans="1:16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 s="7">
        <v>0.08</v>
      </c>
      <c r="L379" t="s">
        <v>31</v>
      </c>
      <c r="M379" t="s">
        <v>19</v>
      </c>
      <c r="N379" t="s">
        <v>20</v>
      </c>
      <c r="O379" s="7">
        <f>الجدول1[[#This Row],[Discount]]*1</f>
        <v>0.08</v>
      </c>
      <c r="P379">
        <f>الجدول1[[#This Row],[Sales_Amount]]*(1-الجدول1[[#This Row],[Discount]])</f>
        <v>607.38400000000001</v>
      </c>
    </row>
    <row r="380" spans="1:16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 s="7">
        <v>0.28000000000000003</v>
      </c>
      <c r="L380" t="s">
        <v>31</v>
      </c>
      <c r="M380" t="s">
        <v>19</v>
      </c>
      <c r="N380" t="s">
        <v>48</v>
      </c>
      <c r="O380" s="7">
        <f>الجدول1[[#This Row],[Discount]]*1</f>
        <v>0.28000000000000003</v>
      </c>
      <c r="P380">
        <f>الجدول1[[#This Row],[Sales_Amount]]*(1-الجدول1[[#This Row],[Discount]])</f>
        <v>2737.3103999999998</v>
      </c>
    </row>
    <row r="381" spans="1:16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 s="7">
        <v>0.05</v>
      </c>
      <c r="L381" t="s">
        <v>31</v>
      </c>
      <c r="M381" t="s">
        <v>22</v>
      </c>
      <c r="N381" t="s">
        <v>23</v>
      </c>
      <c r="O381" s="7">
        <f>الجدول1[[#This Row],[Discount]]*1</f>
        <v>0.05</v>
      </c>
      <c r="P381">
        <f>الجدول1[[#This Row],[Sales_Amount]]*(1-الجدول1[[#This Row],[Discount]])</f>
        <v>8977.5380000000005</v>
      </c>
    </row>
    <row r="382" spans="1:16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 s="7">
        <v>0.17</v>
      </c>
      <c r="L382" t="s">
        <v>27</v>
      </c>
      <c r="M382" t="s">
        <v>19</v>
      </c>
      <c r="N382" t="s">
        <v>43</v>
      </c>
      <c r="O382" s="7">
        <f>الجدول1[[#This Row],[Discount]]*1</f>
        <v>0.17</v>
      </c>
      <c r="P382">
        <f>الجدول1[[#This Row],[Sales_Amount]]*(1-الجدول1[[#This Row],[Discount]])</f>
        <v>5356.1310999999996</v>
      </c>
    </row>
    <row r="383" spans="1:16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 s="7">
        <v>0.17</v>
      </c>
      <c r="L383" t="s">
        <v>27</v>
      </c>
      <c r="M383" t="s">
        <v>19</v>
      </c>
      <c r="N383" t="s">
        <v>40</v>
      </c>
      <c r="O383" s="7">
        <f>الجدول1[[#This Row],[Discount]]*1</f>
        <v>0.17</v>
      </c>
      <c r="P383">
        <f>الجدول1[[#This Row],[Sales_Amount]]*(1-الجدول1[[#This Row],[Discount]])</f>
        <v>5600.5411999999997</v>
      </c>
    </row>
    <row r="384" spans="1:16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 s="7">
        <v>0.22</v>
      </c>
      <c r="L384" t="s">
        <v>27</v>
      </c>
      <c r="M384" t="s">
        <v>22</v>
      </c>
      <c r="N384" t="s">
        <v>46</v>
      </c>
      <c r="O384" s="7">
        <f>الجدول1[[#This Row],[Discount]]*1</f>
        <v>0.22</v>
      </c>
      <c r="P384">
        <f>الجدول1[[#This Row],[Sales_Amount]]*(1-الجدول1[[#This Row],[Discount]])</f>
        <v>4960.4802</v>
      </c>
    </row>
    <row r="385" spans="1:16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 s="7">
        <v>0.15</v>
      </c>
      <c r="L385" t="s">
        <v>31</v>
      </c>
      <c r="M385" t="s">
        <v>22</v>
      </c>
      <c r="N385" t="s">
        <v>36</v>
      </c>
      <c r="O385" s="7">
        <f>الجدول1[[#This Row],[Discount]]*1</f>
        <v>0.15</v>
      </c>
      <c r="P385">
        <f>الجدول1[[#This Row],[Sales_Amount]]*(1-الجدول1[[#This Row],[Discount]])</f>
        <v>1759.5169999999998</v>
      </c>
    </row>
    <row r="386" spans="1:16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 s="7">
        <v>0.08</v>
      </c>
      <c r="L386" t="s">
        <v>18</v>
      </c>
      <c r="M386" t="s">
        <v>19</v>
      </c>
      <c r="N386" t="s">
        <v>51</v>
      </c>
      <c r="O386" s="7">
        <f>الجدول1[[#This Row],[Discount]]*1</f>
        <v>0.08</v>
      </c>
      <c r="P386">
        <f>الجدول1[[#This Row],[Sales_Amount]]*(1-الجدول1[[#This Row],[Discount]])</f>
        <v>3902.1892000000003</v>
      </c>
    </row>
    <row r="387" spans="1:16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 s="7">
        <v>0.05</v>
      </c>
      <c r="L387" t="s">
        <v>31</v>
      </c>
      <c r="M387" t="s">
        <v>22</v>
      </c>
      <c r="N387" t="s">
        <v>51</v>
      </c>
      <c r="O387" s="7">
        <f>الجدول1[[#This Row],[Discount]]*1</f>
        <v>0.05</v>
      </c>
      <c r="P387">
        <f>الجدول1[[#This Row],[Sales_Amount]]*(1-الجدول1[[#This Row],[Discount]])</f>
        <v>7157.585</v>
      </c>
    </row>
    <row r="388" spans="1:16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 s="7">
        <v>0.19</v>
      </c>
      <c r="L388" t="s">
        <v>31</v>
      </c>
      <c r="M388" t="s">
        <v>19</v>
      </c>
      <c r="N388" t="s">
        <v>51</v>
      </c>
      <c r="O388" s="7">
        <f>الجدول1[[#This Row],[Discount]]*1</f>
        <v>0.19</v>
      </c>
      <c r="P388">
        <f>الجدول1[[#This Row],[Sales_Amount]]*(1-الجدول1[[#This Row],[Discount]])</f>
        <v>893.90790000000004</v>
      </c>
    </row>
    <row r="389" spans="1:16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 s="7">
        <v>0.22</v>
      </c>
      <c r="L389" t="s">
        <v>27</v>
      </c>
      <c r="M389" t="s">
        <v>19</v>
      </c>
      <c r="N389" t="s">
        <v>53</v>
      </c>
      <c r="O389" s="7">
        <f>الجدول1[[#This Row],[Discount]]*1</f>
        <v>0.22</v>
      </c>
      <c r="P389">
        <f>الجدول1[[#This Row],[Sales_Amount]]*(1-الجدول1[[#This Row],[Discount]])</f>
        <v>2223.5771999999997</v>
      </c>
    </row>
    <row r="390" spans="1:16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 s="7">
        <v>0.17</v>
      </c>
      <c r="L390" t="s">
        <v>27</v>
      </c>
      <c r="M390" t="s">
        <v>19</v>
      </c>
      <c r="N390" t="s">
        <v>53</v>
      </c>
      <c r="O390" s="7">
        <f>الجدول1[[#This Row],[Discount]]*1</f>
        <v>0.17</v>
      </c>
      <c r="P390">
        <f>الجدول1[[#This Row],[Sales_Amount]]*(1-الجدول1[[#This Row],[Discount]])</f>
        <v>2353.5147999999999</v>
      </c>
    </row>
    <row r="391" spans="1:16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 s="7">
        <v>0.22</v>
      </c>
      <c r="L391" t="s">
        <v>31</v>
      </c>
      <c r="M391" t="s">
        <v>19</v>
      </c>
      <c r="N391" t="s">
        <v>47</v>
      </c>
      <c r="O391" s="7">
        <f>الجدول1[[#This Row],[Discount]]*1</f>
        <v>0.22</v>
      </c>
      <c r="P391">
        <f>الجدول1[[#This Row],[Sales_Amount]]*(1-الجدول1[[#This Row],[Discount]])</f>
        <v>3414.0522000000001</v>
      </c>
    </row>
    <row r="392" spans="1:16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 s="7">
        <v>0.04</v>
      </c>
      <c r="L392" t="s">
        <v>31</v>
      </c>
      <c r="M392" t="s">
        <v>19</v>
      </c>
      <c r="N392" t="s">
        <v>32</v>
      </c>
      <c r="O392" s="7">
        <f>الجدول1[[#This Row],[Discount]]*1</f>
        <v>0.04</v>
      </c>
      <c r="P392">
        <f>الجدول1[[#This Row],[Sales_Amount]]*(1-الجدول1[[#This Row],[Discount]])</f>
        <v>9413.4239999999991</v>
      </c>
    </row>
    <row r="393" spans="1:16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 s="7">
        <v>0.26</v>
      </c>
      <c r="L393" t="s">
        <v>18</v>
      </c>
      <c r="M393" t="s">
        <v>22</v>
      </c>
      <c r="N393" t="s">
        <v>50</v>
      </c>
      <c r="O393" s="7">
        <f>الجدول1[[#This Row],[Discount]]*1</f>
        <v>0.26</v>
      </c>
      <c r="P393">
        <f>الجدول1[[#This Row],[Sales_Amount]]*(1-الجدول1[[#This Row],[Discount]])</f>
        <v>568.52719999999999</v>
      </c>
    </row>
    <row r="394" spans="1:16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 s="7">
        <v>0.17</v>
      </c>
      <c r="L394" t="s">
        <v>18</v>
      </c>
      <c r="M394" t="s">
        <v>22</v>
      </c>
      <c r="N394" t="s">
        <v>46</v>
      </c>
      <c r="O394" s="7">
        <f>الجدول1[[#This Row],[Discount]]*1</f>
        <v>0.17</v>
      </c>
      <c r="P394">
        <f>الجدول1[[#This Row],[Sales_Amount]]*(1-الجدول1[[#This Row],[Discount]])</f>
        <v>4345.1661999999997</v>
      </c>
    </row>
    <row r="395" spans="1:16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 s="7">
        <v>0.04</v>
      </c>
      <c r="L395" t="s">
        <v>27</v>
      </c>
      <c r="M395" t="s">
        <v>19</v>
      </c>
      <c r="N395" t="s">
        <v>53</v>
      </c>
      <c r="O395" s="7">
        <f>الجدول1[[#This Row],[Discount]]*1</f>
        <v>0.04</v>
      </c>
      <c r="P395">
        <f>الجدول1[[#This Row],[Sales_Amount]]*(1-الجدول1[[#This Row],[Discount]])</f>
        <v>1800.6815999999999</v>
      </c>
    </row>
    <row r="396" spans="1:16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 s="7">
        <v>0.14000000000000001</v>
      </c>
      <c r="L396" t="s">
        <v>18</v>
      </c>
      <c r="M396" t="s">
        <v>22</v>
      </c>
      <c r="N396" t="s">
        <v>36</v>
      </c>
      <c r="O396" s="7">
        <f>الجدول1[[#This Row],[Discount]]*1</f>
        <v>0.14000000000000001</v>
      </c>
      <c r="P396">
        <f>الجدول1[[#This Row],[Sales_Amount]]*(1-الجدول1[[#This Row],[Discount]])</f>
        <v>8350.3420000000006</v>
      </c>
    </row>
    <row r="397" spans="1:16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 s="7">
        <v>0.25</v>
      </c>
      <c r="L397" t="s">
        <v>18</v>
      </c>
      <c r="M397" t="s">
        <v>22</v>
      </c>
      <c r="N397" t="s">
        <v>28</v>
      </c>
      <c r="O397" s="7">
        <f>الجدول1[[#This Row],[Discount]]*1</f>
        <v>0.25</v>
      </c>
      <c r="P397">
        <f>الجدول1[[#This Row],[Sales_Amount]]*(1-الجدول1[[#This Row],[Discount]])</f>
        <v>916.27500000000009</v>
      </c>
    </row>
    <row r="398" spans="1:16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 s="7">
        <v>0.27</v>
      </c>
      <c r="L398" t="s">
        <v>27</v>
      </c>
      <c r="M398" t="s">
        <v>19</v>
      </c>
      <c r="N398" t="s">
        <v>48</v>
      </c>
      <c r="O398" s="7">
        <f>الجدول1[[#This Row],[Discount]]*1</f>
        <v>0.27</v>
      </c>
      <c r="P398">
        <f>الجدول1[[#This Row],[Sales_Amount]]*(1-الجدول1[[#This Row],[Discount]])</f>
        <v>2989.8245000000002</v>
      </c>
    </row>
    <row r="399" spans="1:16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 s="7">
        <v>0.08</v>
      </c>
      <c r="L399" t="s">
        <v>18</v>
      </c>
      <c r="M399" t="s">
        <v>22</v>
      </c>
      <c r="N399" t="s">
        <v>45</v>
      </c>
      <c r="O399" s="7">
        <f>الجدول1[[#This Row],[Discount]]*1</f>
        <v>0.08</v>
      </c>
      <c r="P399">
        <f>الجدول1[[#This Row],[Sales_Amount]]*(1-الجدول1[[#This Row],[Discount]])</f>
        <v>6812.6552000000011</v>
      </c>
    </row>
    <row r="400" spans="1:16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 s="7">
        <v>0.21</v>
      </c>
      <c r="L400" t="s">
        <v>31</v>
      </c>
      <c r="M400" t="s">
        <v>22</v>
      </c>
      <c r="N400" t="s">
        <v>20</v>
      </c>
      <c r="O400" s="7">
        <f>الجدول1[[#This Row],[Discount]]*1</f>
        <v>0.21</v>
      </c>
      <c r="P400">
        <f>الجدول1[[#This Row],[Sales_Amount]]*(1-الجدول1[[#This Row],[Discount]])</f>
        <v>5589.3211000000001</v>
      </c>
    </row>
    <row r="401" spans="1:16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 s="7">
        <v>0.03</v>
      </c>
      <c r="L401" t="s">
        <v>18</v>
      </c>
      <c r="M401" t="s">
        <v>19</v>
      </c>
      <c r="N401" t="s">
        <v>28</v>
      </c>
      <c r="O401" s="7">
        <f>الجدول1[[#This Row],[Discount]]*1</f>
        <v>0.03</v>
      </c>
      <c r="P401">
        <f>الجدول1[[#This Row],[Sales_Amount]]*(1-الجدول1[[#This Row],[Discount]])</f>
        <v>4156.4597000000003</v>
      </c>
    </row>
    <row r="402" spans="1:16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 s="7">
        <v>0.01</v>
      </c>
      <c r="L402" t="s">
        <v>27</v>
      </c>
      <c r="M402" t="s">
        <v>19</v>
      </c>
      <c r="N402" t="s">
        <v>43</v>
      </c>
      <c r="O402" s="7">
        <f>الجدول1[[#This Row],[Discount]]*1</f>
        <v>0.01</v>
      </c>
      <c r="P402">
        <f>الجدول1[[#This Row],[Sales_Amount]]*(1-الجدول1[[#This Row],[Discount]])</f>
        <v>3495.2841000000003</v>
      </c>
    </row>
    <row r="403" spans="1:16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 s="7">
        <v>0.17</v>
      </c>
      <c r="L403" t="s">
        <v>31</v>
      </c>
      <c r="M403" t="s">
        <v>19</v>
      </c>
      <c r="N403" t="s">
        <v>46</v>
      </c>
      <c r="O403" s="7">
        <f>الجدول1[[#This Row],[Discount]]*1</f>
        <v>0.17</v>
      </c>
      <c r="P403">
        <f>الجدول1[[#This Row],[Sales_Amount]]*(1-الجدول1[[#This Row],[Discount]])</f>
        <v>3350.1788000000001</v>
      </c>
    </row>
    <row r="404" spans="1:16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 s="7">
        <v>0.21</v>
      </c>
      <c r="L404" t="s">
        <v>18</v>
      </c>
      <c r="M404" t="s">
        <v>19</v>
      </c>
      <c r="N404" t="s">
        <v>46</v>
      </c>
      <c r="O404" s="7">
        <f>الجدول1[[#This Row],[Discount]]*1</f>
        <v>0.21</v>
      </c>
      <c r="P404">
        <f>الجدول1[[#This Row],[Sales_Amount]]*(1-الجدول1[[#This Row],[Discount]])</f>
        <v>2145.9086000000002</v>
      </c>
    </row>
    <row r="405" spans="1:16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 s="7">
        <v>0.24</v>
      </c>
      <c r="L405" t="s">
        <v>31</v>
      </c>
      <c r="M405" t="s">
        <v>19</v>
      </c>
      <c r="N405" t="s">
        <v>40</v>
      </c>
      <c r="O405" s="7">
        <f>الجدول1[[#This Row],[Discount]]*1</f>
        <v>0.24</v>
      </c>
      <c r="P405">
        <f>الجدول1[[#This Row],[Sales_Amount]]*(1-الجدول1[[#This Row],[Discount]])</f>
        <v>1620.9280000000001</v>
      </c>
    </row>
    <row r="406" spans="1:16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 s="7">
        <v>0.1</v>
      </c>
      <c r="L406" t="s">
        <v>31</v>
      </c>
      <c r="M406" t="s">
        <v>19</v>
      </c>
      <c r="N406" t="s">
        <v>44</v>
      </c>
      <c r="O406" s="7">
        <f>الجدول1[[#This Row],[Discount]]*1</f>
        <v>0.1</v>
      </c>
      <c r="P406">
        <f>الجدول1[[#This Row],[Sales_Amount]]*(1-الجدول1[[#This Row],[Discount]])</f>
        <v>4393.8810000000003</v>
      </c>
    </row>
    <row r="407" spans="1:16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 s="7">
        <v>0</v>
      </c>
      <c r="L407" t="s">
        <v>18</v>
      </c>
      <c r="M407" t="s">
        <v>19</v>
      </c>
      <c r="N407" t="s">
        <v>32</v>
      </c>
      <c r="O407" s="7">
        <f>الجدول1[[#This Row],[Discount]]*1</f>
        <v>0</v>
      </c>
      <c r="P407">
        <f>الجدول1[[#This Row],[Sales_Amount]]*(1-الجدول1[[#This Row],[Discount]])</f>
        <v>2758.48</v>
      </c>
    </row>
    <row r="408" spans="1:16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 s="7">
        <v>0.14000000000000001</v>
      </c>
      <c r="L408" t="s">
        <v>18</v>
      </c>
      <c r="M408" t="s">
        <v>22</v>
      </c>
      <c r="N408" t="s">
        <v>44</v>
      </c>
      <c r="O408" s="7">
        <f>الجدول1[[#This Row],[Discount]]*1</f>
        <v>0.14000000000000001</v>
      </c>
      <c r="P408">
        <f>الجدول1[[#This Row],[Sales_Amount]]*(1-الجدول1[[#This Row],[Discount]])</f>
        <v>2533.4481999999998</v>
      </c>
    </row>
    <row r="409" spans="1:16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 s="7">
        <v>0</v>
      </c>
      <c r="L409" t="s">
        <v>27</v>
      </c>
      <c r="M409" t="s">
        <v>19</v>
      </c>
      <c r="N409" t="s">
        <v>50</v>
      </c>
      <c r="O409" s="7">
        <f>الجدول1[[#This Row],[Discount]]*1</f>
        <v>0</v>
      </c>
      <c r="P409">
        <f>الجدول1[[#This Row],[Sales_Amount]]*(1-الجدول1[[#This Row],[Discount]])</f>
        <v>6601.89</v>
      </c>
    </row>
    <row r="410" spans="1:16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 s="7">
        <v>0.03</v>
      </c>
      <c r="L410" t="s">
        <v>27</v>
      </c>
      <c r="M410" t="s">
        <v>22</v>
      </c>
      <c r="N410" t="s">
        <v>43</v>
      </c>
      <c r="O410" s="7">
        <f>الجدول1[[#This Row],[Discount]]*1</f>
        <v>0.03</v>
      </c>
      <c r="P410">
        <f>الجدول1[[#This Row],[Sales_Amount]]*(1-الجدول1[[#This Row],[Discount]])</f>
        <v>9397.8644000000004</v>
      </c>
    </row>
    <row r="411" spans="1:16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 s="7">
        <v>0.1</v>
      </c>
      <c r="L411" t="s">
        <v>31</v>
      </c>
      <c r="M411" t="s">
        <v>22</v>
      </c>
      <c r="N411" t="s">
        <v>40</v>
      </c>
      <c r="O411" s="7">
        <f>الجدول1[[#This Row],[Discount]]*1</f>
        <v>0.1</v>
      </c>
      <c r="P411">
        <f>الجدول1[[#This Row],[Sales_Amount]]*(1-الجدول1[[#This Row],[Discount]])</f>
        <v>5468.4090000000006</v>
      </c>
    </row>
    <row r="412" spans="1:16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 s="7">
        <v>0.13</v>
      </c>
      <c r="L412" t="s">
        <v>27</v>
      </c>
      <c r="M412" t="s">
        <v>19</v>
      </c>
      <c r="N412" t="s">
        <v>53</v>
      </c>
      <c r="O412" s="7">
        <f>الجدول1[[#This Row],[Discount]]*1</f>
        <v>0.13</v>
      </c>
      <c r="P412">
        <f>الجدول1[[#This Row],[Sales_Amount]]*(1-الجدول1[[#This Row],[Discount]])</f>
        <v>750.02700000000004</v>
      </c>
    </row>
    <row r="413" spans="1:16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 s="7">
        <v>0.08</v>
      </c>
      <c r="L413" t="s">
        <v>31</v>
      </c>
      <c r="M413" t="s">
        <v>22</v>
      </c>
      <c r="N413" t="s">
        <v>46</v>
      </c>
      <c r="O413" s="7">
        <f>الجدول1[[#This Row],[Discount]]*1</f>
        <v>0.08</v>
      </c>
      <c r="P413">
        <f>الجدول1[[#This Row],[Sales_Amount]]*(1-الجدول1[[#This Row],[Discount]])</f>
        <v>780.41759999999999</v>
      </c>
    </row>
    <row r="414" spans="1:16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 s="7">
        <v>0.17</v>
      </c>
      <c r="L414" t="s">
        <v>31</v>
      </c>
      <c r="M414" t="s">
        <v>22</v>
      </c>
      <c r="N414" t="s">
        <v>37</v>
      </c>
      <c r="O414" s="7">
        <f>الجدول1[[#This Row],[Discount]]*1</f>
        <v>0.17</v>
      </c>
      <c r="P414">
        <f>الجدول1[[#This Row],[Sales_Amount]]*(1-الجدول1[[#This Row],[Discount]])</f>
        <v>7900.8446999999996</v>
      </c>
    </row>
    <row r="415" spans="1:16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 s="7">
        <v>0.02</v>
      </c>
      <c r="L415" t="s">
        <v>27</v>
      </c>
      <c r="M415" t="s">
        <v>22</v>
      </c>
      <c r="N415" t="s">
        <v>46</v>
      </c>
      <c r="O415" s="7">
        <f>الجدول1[[#This Row],[Discount]]*1</f>
        <v>0.02</v>
      </c>
      <c r="P415">
        <f>الجدول1[[#This Row],[Sales_Amount]]*(1-الجدول1[[#This Row],[Discount]])</f>
        <v>2982.3163999999997</v>
      </c>
    </row>
    <row r="416" spans="1:16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 s="7">
        <v>0.04</v>
      </c>
      <c r="L416" t="s">
        <v>27</v>
      </c>
      <c r="M416" t="s">
        <v>19</v>
      </c>
      <c r="N416" t="s">
        <v>37</v>
      </c>
      <c r="O416" s="7">
        <f>الجدول1[[#This Row],[Discount]]*1</f>
        <v>0.04</v>
      </c>
      <c r="P416">
        <f>الجدول1[[#This Row],[Sales_Amount]]*(1-الجدول1[[#This Row],[Discount]])</f>
        <v>971.00160000000005</v>
      </c>
    </row>
    <row r="417" spans="1:16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 s="7">
        <v>0.21</v>
      </c>
      <c r="L417" t="s">
        <v>27</v>
      </c>
      <c r="M417" t="s">
        <v>22</v>
      </c>
      <c r="N417" t="s">
        <v>32</v>
      </c>
      <c r="O417" s="7">
        <f>الجدول1[[#This Row],[Discount]]*1</f>
        <v>0.21</v>
      </c>
      <c r="P417">
        <f>الجدول1[[#This Row],[Sales_Amount]]*(1-الجدول1[[#This Row],[Discount]])</f>
        <v>4764.1266000000005</v>
      </c>
    </row>
    <row r="418" spans="1:16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 s="7">
        <v>0.04</v>
      </c>
      <c r="L418" t="s">
        <v>18</v>
      </c>
      <c r="M418" t="s">
        <v>22</v>
      </c>
      <c r="N418" t="s">
        <v>50</v>
      </c>
      <c r="O418" s="7">
        <f>الجدول1[[#This Row],[Discount]]*1</f>
        <v>0.04</v>
      </c>
      <c r="P418">
        <f>الجدول1[[#This Row],[Sales_Amount]]*(1-الجدول1[[#This Row],[Discount]])</f>
        <v>6023.1551999999992</v>
      </c>
    </row>
    <row r="419" spans="1:16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 s="7">
        <v>0.19</v>
      </c>
      <c r="L419" t="s">
        <v>31</v>
      </c>
      <c r="M419" t="s">
        <v>19</v>
      </c>
      <c r="N419" t="s">
        <v>20</v>
      </c>
      <c r="O419" s="7">
        <f>الجدول1[[#This Row],[Discount]]*1</f>
        <v>0.19</v>
      </c>
      <c r="P419">
        <f>الجدول1[[#This Row],[Sales_Amount]]*(1-الجدول1[[#This Row],[Discount]])</f>
        <v>5281.3620000000001</v>
      </c>
    </row>
    <row r="420" spans="1:16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 s="7">
        <v>0.02</v>
      </c>
      <c r="L420" t="s">
        <v>31</v>
      </c>
      <c r="M420" t="s">
        <v>22</v>
      </c>
      <c r="N420" t="s">
        <v>32</v>
      </c>
      <c r="O420" s="7">
        <f>الجدول1[[#This Row],[Discount]]*1</f>
        <v>0.02</v>
      </c>
      <c r="P420">
        <f>الجدول1[[#This Row],[Sales_Amount]]*(1-الجدول1[[#This Row],[Discount]])</f>
        <v>2692.3344000000002</v>
      </c>
    </row>
    <row r="421" spans="1:16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 s="7">
        <v>0.12</v>
      </c>
      <c r="L421" t="s">
        <v>31</v>
      </c>
      <c r="M421" t="s">
        <v>22</v>
      </c>
      <c r="N421" t="s">
        <v>49</v>
      </c>
      <c r="O421" s="7">
        <f>الجدول1[[#This Row],[Discount]]*1</f>
        <v>0.12</v>
      </c>
      <c r="P421">
        <f>الجدول1[[#This Row],[Sales_Amount]]*(1-الجدول1[[#This Row],[Discount]])</f>
        <v>219.648</v>
      </c>
    </row>
    <row r="422" spans="1:16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 s="7">
        <v>0.05</v>
      </c>
      <c r="L422" t="s">
        <v>27</v>
      </c>
      <c r="M422" t="s">
        <v>22</v>
      </c>
      <c r="N422" t="s">
        <v>32</v>
      </c>
      <c r="O422" s="7">
        <f>الجدول1[[#This Row],[Discount]]*1</f>
        <v>0.05</v>
      </c>
      <c r="P422">
        <f>الجدول1[[#This Row],[Sales_Amount]]*(1-الجدول1[[#This Row],[Discount]])</f>
        <v>9170.9674999999988</v>
      </c>
    </row>
    <row r="423" spans="1:16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 s="7">
        <v>0.03</v>
      </c>
      <c r="L423" t="s">
        <v>27</v>
      </c>
      <c r="M423" t="s">
        <v>22</v>
      </c>
      <c r="N423" t="s">
        <v>52</v>
      </c>
      <c r="O423" s="7">
        <f>الجدول1[[#This Row],[Discount]]*1</f>
        <v>0.03</v>
      </c>
      <c r="P423">
        <f>الجدول1[[#This Row],[Sales_Amount]]*(1-الجدول1[[#This Row],[Discount]])</f>
        <v>2506.3247999999999</v>
      </c>
    </row>
    <row r="424" spans="1:16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 s="7">
        <v>0.17</v>
      </c>
      <c r="L424" t="s">
        <v>27</v>
      </c>
      <c r="M424" t="s">
        <v>22</v>
      </c>
      <c r="N424" t="s">
        <v>41</v>
      </c>
      <c r="O424" s="7">
        <f>الجدول1[[#This Row],[Discount]]*1</f>
        <v>0.17</v>
      </c>
      <c r="P424">
        <f>الجدول1[[#This Row],[Sales_Amount]]*(1-الجدول1[[#This Row],[Discount]])</f>
        <v>5637.9078</v>
      </c>
    </row>
    <row r="425" spans="1:16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 s="7">
        <v>0.28000000000000003</v>
      </c>
      <c r="L425" t="s">
        <v>27</v>
      </c>
      <c r="M425" t="s">
        <v>19</v>
      </c>
      <c r="N425" t="s">
        <v>43</v>
      </c>
      <c r="O425" s="7">
        <f>الجدول1[[#This Row],[Discount]]*1</f>
        <v>0.28000000000000003</v>
      </c>
      <c r="P425">
        <f>الجدول1[[#This Row],[Sales_Amount]]*(1-الجدول1[[#This Row],[Discount]])</f>
        <v>5108.8608000000004</v>
      </c>
    </row>
    <row r="426" spans="1:16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 s="7">
        <v>0.02</v>
      </c>
      <c r="L426" t="s">
        <v>27</v>
      </c>
      <c r="M426" t="s">
        <v>22</v>
      </c>
      <c r="N426" t="s">
        <v>47</v>
      </c>
      <c r="O426" s="7">
        <f>الجدول1[[#This Row],[Discount]]*1</f>
        <v>0.02</v>
      </c>
      <c r="P426">
        <f>الجدول1[[#This Row],[Sales_Amount]]*(1-الجدول1[[#This Row],[Discount]])</f>
        <v>6016.2885999999999</v>
      </c>
    </row>
    <row r="427" spans="1:16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 s="7">
        <v>0.13</v>
      </c>
      <c r="L427" t="s">
        <v>18</v>
      </c>
      <c r="M427" t="s">
        <v>19</v>
      </c>
      <c r="N427" t="s">
        <v>43</v>
      </c>
      <c r="O427" s="7">
        <f>الجدول1[[#This Row],[Discount]]*1</f>
        <v>0.13</v>
      </c>
      <c r="P427">
        <f>الجدول1[[#This Row],[Sales_Amount]]*(1-الجدول1[[#This Row],[Discount]])</f>
        <v>2782.0686000000001</v>
      </c>
    </row>
    <row r="428" spans="1:16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 s="7">
        <v>0.21</v>
      </c>
      <c r="L428" t="s">
        <v>27</v>
      </c>
      <c r="M428" t="s">
        <v>22</v>
      </c>
      <c r="N428" t="s">
        <v>40</v>
      </c>
      <c r="O428" s="7">
        <f>الجدول1[[#This Row],[Discount]]*1</f>
        <v>0.21</v>
      </c>
      <c r="P428">
        <f>الجدول1[[#This Row],[Sales_Amount]]*(1-الجدول1[[#This Row],[Discount]])</f>
        <v>2199.2415000000001</v>
      </c>
    </row>
    <row r="429" spans="1:16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 s="7">
        <v>0.14000000000000001</v>
      </c>
      <c r="L429" t="s">
        <v>31</v>
      </c>
      <c r="M429" t="s">
        <v>19</v>
      </c>
      <c r="N429" t="s">
        <v>45</v>
      </c>
      <c r="O429" s="7">
        <f>الجدول1[[#This Row],[Discount]]*1</f>
        <v>0.14000000000000001</v>
      </c>
      <c r="P429">
        <f>الجدول1[[#This Row],[Sales_Amount]]*(1-الجدول1[[#This Row],[Discount]])</f>
        <v>5174.5511999999999</v>
      </c>
    </row>
    <row r="430" spans="1:16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 s="7">
        <v>0.24</v>
      </c>
      <c r="L430" t="s">
        <v>27</v>
      </c>
      <c r="M430" t="s">
        <v>19</v>
      </c>
      <c r="N430" t="s">
        <v>44</v>
      </c>
      <c r="O430" s="7">
        <f>الجدول1[[#This Row],[Discount]]*1</f>
        <v>0.24</v>
      </c>
      <c r="P430">
        <f>الجدول1[[#This Row],[Sales_Amount]]*(1-الجدول1[[#This Row],[Discount]])</f>
        <v>6592.5060000000003</v>
      </c>
    </row>
    <row r="431" spans="1:16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 s="7">
        <v>0.05</v>
      </c>
      <c r="L431" t="s">
        <v>31</v>
      </c>
      <c r="M431" t="s">
        <v>19</v>
      </c>
      <c r="N431" t="s">
        <v>37</v>
      </c>
      <c r="O431" s="7">
        <f>الجدول1[[#This Row],[Discount]]*1</f>
        <v>0.05</v>
      </c>
      <c r="P431">
        <f>الجدول1[[#This Row],[Sales_Amount]]*(1-الجدول1[[#This Row],[Discount]])</f>
        <v>8999.027</v>
      </c>
    </row>
    <row r="432" spans="1:16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 s="7">
        <v>0.28999999999999998</v>
      </c>
      <c r="L432" t="s">
        <v>27</v>
      </c>
      <c r="M432" t="s">
        <v>22</v>
      </c>
      <c r="N432" t="s">
        <v>52</v>
      </c>
      <c r="O432" s="7">
        <f>الجدول1[[#This Row],[Discount]]*1</f>
        <v>0.28999999999999998</v>
      </c>
      <c r="P432">
        <f>الجدول1[[#This Row],[Sales_Amount]]*(1-الجدول1[[#This Row],[Discount]])</f>
        <v>815.41369999999995</v>
      </c>
    </row>
    <row r="433" spans="1:16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 s="7">
        <v>0.12</v>
      </c>
      <c r="L433" t="s">
        <v>27</v>
      </c>
      <c r="M433" t="s">
        <v>22</v>
      </c>
      <c r="N433" t="s">
        <v>52</v>
      </c>
      <c r="O433" s="7">
        <f>الجدول1[[#This Row],[Discount]]*1</f>
        <v>0.12</v>
      </c>
      <c r="P433">
        <f>الجدول1[[#This Row],[Sales_Amount]]*(1-الجدول1[[#This Row],[Discount]])</f>
        <v>1436.864</v>
      </c>
    </row>
    <row r="434" spans="1:16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 s="7">
        <v>0.1</v>
      </c>
      <c r="L434" t="s">
        <v>31</v>
      </c>
      <c r="M434" t="s">
        <v>22</v>
      </c>
      <c r="N434" t="s">
        <v>40</v>
      </c>
      <c r="O434" s="7">
        <f>الجدول1[[#This Row],[Discount]]*1</f>
        <v>0.1</v>
      </c>
      <c r="P434">
        <f>الجدول1[[#This Row],[Sales_Amount]]*(1-الجدول1[[#This Row],[Discount]])</f>
        <v>8507.6010000000006</v>
      </c>
    </row>
    <row r="435" spans="1:16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 s="7">
        <v>0.26</v>
      </c>
      <c r="L435" t="s">
        <v>31</v>
      </c>
      <c r="M435" t="s">
        <v>22</v>
      </c>
      <c r="N435" t="s">
        <v>48</v>
      </c>
      <c r="O435" s="7">
        <f>الجدول1[[#This Row],[Discount]]*1</f>
        <v>0.26</v>
      </c>
      <c r="P435">
        <f>الجدول1[[#This Row],[Sales_Amount]]*(1-الجدول1[[#This Row],[Discount]])</f>
        <v>5469.8580000000002</v>
      </c>
    </row>
    <row r="436" spans="1:16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 s="7">
        <v>0.17</v>
      </c>
      <c r="L436" t="s">
        <v>31</v>
      </c>
      <c r="M436" t="s">
        <v>22</v>
      </c>
      <c r="N436" t="s">
        <v>20</v>
      </c>
      <c r="O436" s="7">
        <f>الجدول1[[#This Row],[Discount]]*1</f>
        <v>0.17</v>
      </c>
      <c r="P436">
        <f>الجدول1[[#This Row],[Sales_Amount]]*(1-الجدول1[[#This Row],[Discount]])</f>
        <v>7338.5611999999992</v>
      </c>
    </row>
    <row r="437" spans="1:16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 s="7">
        <v>0.15</v>
      </c>
      <c r="L437" t="s">
        <v>31</v>
      </c>
      <c r="M437" t="s">
        <v>19</v>
      </c>
      <c r="N437" t="s">
        <v>48</v>
      </c>
      <c r="O437" s="7">
        <f>الجدول1[[#This Row],[Discount]]*1</f>
        <v>0.15</v>
      </c>
      <c r="P437">
        <f>الجدول1[[#This Row],[Sales_Amount]]*(1-الجدول1[[#This Row],[Discount]])</f>
        <v>1790.1509999999998</v>
      </c>
    </row>
    <row r="438" spans="1:16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 s="7">
        <v>0.22</v>
      </c>
      <c r="L438" t="s">
        <v>18</v>
      </c>
      <c r="M438" t="s">
        <v>19</v>
      </c>
      <c r="N438" t="s">
        <v>32</v>
      </c>
      <c r="O438" s="7">
        <f>الجدول1[[#This Row],[Discount]]*1</f>
        <v>0.22</v>
      </c>
      <c r="P438">
        <f>الجدول1[[#This Row],[Sales_Amount]]*(1-الجدول1[[#This Row],[Discount]])</f>
        <v>4615.3380000000006</v>
      </c>
    </row>
    <row r="439" spans="1:16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 s="7">
        <v>0.17</v>
      </c>
      <c r="L439" t="s">
        <v>31</v>
      </c>
      <c r="M439" t="s">
        <v>19</v>
      </c>
      <c r="N439" t="s">
        <v>45</v>
      </c>
      <c r="O439" s="7">
        <f>الجدول1[[#This Row],[Discount]]*1</f>
        <v>0.17</v>
      </c>
      <c r="P439">
        <f>الجدول1[[#This Row],[Sales_Amount]]*(1-الجدول1[[#This Row],[Discount]])</f>
        <v>5844.2623999999996</v>
      </c>
    </row>
    <row r="440" spans="1:16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 s="7">
        <v>0.05</v>
      </c>
      <c r="L440" t="s">
        <v>27</v>
      </c>
      <c r="M440" t="s">
        <v>22</v>
      </c>
      <c r="N440" t="s">
        <v>49</v>
      </c>
      <c r="O440" s="7">
        <f>الجدول1[[#This Row],[Discount]]*1</f>
        <v>0.05</v>
      </c>
      <c r="P440">
        <f>الجدول1[[#This Row],[Sales_Amount]]*(1-الجدول1[[#This Row],[Discount]])</f>
        <v>6491.4544999999998</v>
      </c>
    </row>
    <row r="441" spans="1:16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 s="7">
        <v>0.2</v>
      </c>
      <c r="L441" t="s">
        <v>27</v>
      </c>
      <c r="M441" t="s">
        <v>22</v>
      </c>
      <c r="N441" t="s">
        <v>28</v>
      </c>
      <c r="O441" s="7">
        <f>الجدول1[[#This Row],[Discount]]*1</f>
        <v>0.2</v>
      </c>
      <c r="P441">
        <f>الجدول1[[#This Row],[Sales_Amount]]*(1-الجدول1[[#This Row],[Discount]])</f>
        <v>3312.56</v>
      </c>
    </row>
    <row r="442" spans="1:16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 s="7">
        <v>0.04</v>
      </c>
      <c r="L442" t="s">
        <v>18</v>
      </c>
      <c r="M442" t="s">
        <v>19</v>
      </c>
      <c r="N442" t="s">
        <v>40</v>
      </c>
      <c r="O442" s="7">
        <f>الجدول1[[#This Row],[Discount]]*1</f>
        <v>0.04</v>
      </c>
      <c r="P442">
        <f>الجدول1[[#This Row],[Sales_Amount]]*(1-الجدول1[[#This Row],[Discount]])</f>
        <v>242.31359999999998</v>
      </c>
    </row>
    <row r="443" spans="1:16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 s="7">
        <v>0.24</v>
      </c>
      <c r="L443" t="s">
        <v>31</v>
      </c>
      <c r="M443" t="s">
        <v>22</v>
      </c>
      <c r="N443" t="s">
        <v>50</v>
      </c>
      <c r="O443" s="7">
        <f>الجدول1[[#This Row],[Discount]]*1</f>
        <v>0.24</v>
      </c>
      <c r="P443">
        <f>الجدول1[[#This Row],[Sales_Amount]]*(1-الجدول1[[#This Row],[Discount]])</f>
        <v>4461.9372000000003</v>
      </c>
    </row>
    <row r="444" spans="1:16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 s="7">
        <v>0.3</v>
      </c>
      <c r="L444" t="s">
        <v>27</v>
      </c>
      <c r="M444" t="s">
        <v>22</v>
      </c>
      <c r="N444" t="s">
        <v>50</v>
      </c>
      <c r="O444" s="7">
        <f>الجدول1[[#This Row],[Discount]]*1</f>
        <v>0.3</v>
      </c>
      <c r="P444">
        <f>الجدول1[[#This Row],[Sales_Amount]]*(1-الجدول1[[#This Row],[Discount]])</f>
        <v>1823.9969999999998</v>
      </c>
    </row>
    <row r="445" spans="1:16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 s="7">
        <v>0.11</v>
      </c>
      <c r="L445" t="s">
        <v>18</v>
      </c>
      <c r="M445" t="s">
        <v>19</v>
      </c>
      <c r="N445" t="s">
        <v>45</v>
      </c>
      <c r="O445" s="7">
        <f>الجدول1[[#This Row],[Discount]]*1</f>
        <v>0.11</v>
      </c>
      <c r="P445">
        <f>الجدول1[[#This Row],[Sales_Amount]]*(1-الجدول1[[#This Row],[Discount]])</f>
        <v>4056.1928000000003</v>
      </c>
    </row>
    <row r="446" spans="1:16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 s="7">
        <v>0.13</v>
      </c>
      <c r="L446" t="s">
        <v>27</v>
      </c>
      <c r="M446" t="s">
        <v>19</v>
      </c>
      <c r="N446" t="s">
        <v>48</v>
      </c>
      <c r="O446" s="7">
        <f>الجدول1[[#This Row],[Discount]]*1</f>
        <v>0.13</v>
      </c>
      <c r="P446">
        <f>الجدول1[[#This Row],[Sales_Amount]]*(1-الجدول1[[#This Row],[Discount]])</f>
        <v>8334.6435000000001</v>
      </c>
    </row>
    <row r="447" spans="1:16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 s="7">
        <v>0.01</v>
      </c>
      <c r="L447" t="s">
        <v>18</v>
      </c>
      <c r="M447" t="s">
        <v>22</v>
      </c>
      <c r="N447" t="s">
        <v>47</v>
      </c>
      <c r="O447" s="7">
        <f>الجدول1[[#This Row],[Discount]]*1</f>
        <v>0.01</v>
      </c>
      <c r="P447">
        <f>الجدول1[[#This Row],[Sales_Amount]]*(1-الجدول1[[#This Row],[Discount]])</f>
        <v>4009.9454999999998</v>
      </c>
    </row>
    <row r="448" spans="1:16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 s="7">
        <v>0</v>
      </c>
      <c r="L448" t="s">
        <v>18</v>
      </c>
      <c r="M448" t="s">
        <v>22</v>
      </c>
      <c r="N448" t="s">
        <v>20</v>
      </c>
      <c r="O448" s="7">
        <f>الجدول1[[#This Row],[Discount]]*1</f>
        <v>0</v>
      </c>
      <c r="P448">
        <f>الجدول1[[#This Row],[Sales_Amount]]*(1-الجدول1[[#This Row],[Discount]])</f>
        <v>8414.0400000000009</v>
      </c>
    </row>
    <row r="449" spans="1:16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 s="7">
        <v>0.28000000000000003</v>
      </c>
      <c r="L449" t="s">
        <v>31</v>
      </c>
      <c r="M449" t="s">
        <v>19</v>
      </c>
      <c r="N449" t="s">
        <v>39</v>
      </c>
      <c r="O449" s="7">
        <f>الجدول1[[#This Row],[Discount]]*1</f>
        <v>0.28000000000000003</v>
      </c>
      <c r="P449">
        <f>الجدول1[[#This Row],[Sales_Amount]]*(1-الجدول1[[#This Row],[Discount]])</f>
        <v>1415.9159999999999</v>
      </c>
    </row>
    <row r="450" spans="1:16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 s="7">
        <v>0.04</v>
      </c>
      <c r="L450" t="s">
        <v>18</v>
      </c>
      <c r="M450" t="s">
        <v>22</v>
      </c>
      <c r="N450" t="s">
        <v>47</v>
      </c>
      <c r="O450" s="7">
        <f>الجدول1[[#This Row],[Discount]]*1</f>
        <v>0.04</v>
      </c>
      <c r="P450">
        <f>الجدول1[[#This Row],[Sales_Amount]]*(1-الجدول1[[#This Row],[Discount]])</f>
        <v>6487.065599999999</v>
      </c>
    </row>
    <row r="451" spans="1:16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 s="7">
        <v>0.13</v>
      </c>
      <c r="L451" t="s">
        <v>27</v>
      </c>
      <c r="M451" t="s">
        <v>19</v>
      </c>
      <c r="N451" t="s">
        <v>40</v>
      </c>
      <c r="O451" s="7">
        <f>الجدول1[[#This Row],[Discount]]*1</f>
        <v>0.13</v>
      </c>
      <c r="P451">
        <f>الجدول1[[#This Row],[Sales_Amount]]*(1-الجدول1[[#This Row],[Discount]])</f>
        <v>8501.9619000000002</v>
      </c>
    </row>
    <row r="452" spans="1:16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 s="7">
        <v>0.24</v>
      </c>
      <c r="L452" t="s">
        <v>27</v>
      </c>
      <c r="M452" t="s">
        <v>19</v>
      </c>
      <c r="N452" t="s">
        <v>44</v>
      </c>
      <c r="O452" s="7">
        <f>الجدول1[[#This Row],[Discount]]*1</f>
        <v>0.24</v>
      </c>
      <c r="P452">
        <f>الجدول1[[#This Row],[Sales_Amount]]*(1-الجدول1[[#This Row],[Discount]])</f>
        <v>842.64240000000007</v>
      </c>
    </row>
    <row r="453" spans="1:16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 s="7">
        <v>0.27</v>
      </c>
      <c r="L453" t="s">
        <v>31</v>
      </c>
      <c r="M453" t="s">
        <v>19</v>
      </c>
      <c r="N453" t="s">
        <v>46</v>
      </c>
      <c r="O453" s="7">
        <f>الجدول1[[#This Row],[Discount]]*1</f>
        <v>0.27</v>
      </c>
      <c r="P453">
        <f>الجدول1[[#This Row],[Sales_Amount]]*(1-الجدول1[[#This Row],[Discount]])</f>
        <v>133.1301</v>
      </c>
    </row>
    <row r="454" spans="1:16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 s="7">
        <v>0.16</v>
      </c>
      <c r="L454" t="s">
        <v>31</v>
      </c>
      <c r="M454" t="s">
        <v>22</v>
      </c>
      <c r="N454" t="s">
        <v>28</v>
      </c>
      <c r="O454" s="7">
        <f>الجدول1[[#This Row],[Discount]]*1</f>
        <v>0.16</v>
      </c>
      <c r="P454">
        <f>الجدول1[[#This Row],[Sales_Amount]]*(1-الجدول1[[#This Row],[Discount]])</f>
        <v>3689.6748000000002</v>
      </c>
    </row>
    <row r="455" spans="1:16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 s="7">
        <v>0.17</v>
      </c>
      <c r="L455" t="s">
        <v>18</v>
      </c>
      <c r="M455" t="s">
        <v>19</v>
      </c>
      <c r="N455" t="s">
        <v>37</v>
      </c>
      <c r="O455" s="7">
        <f>الجدول1[[#This Row],[Discount]]*1</f>
        <v>0.17</v>
      </c>
      <c r="P455">
        <f>الجدول1[[#This Row],[Sales_Amount]]*(1-الجدول1[[#This Row],[Discount]])</f>
        <v>844.10169999999994</v>
      </c>
    </row>
    <row r="456" spans="1:16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 s="7">
        <v>0.2</v>
      </c>
      <c r="L456" t="s">
        <v>31</v>
      </c>
      <c r="M456" t="s">
        <v>19</v>
      </c>
      <c r="N456" t="s">
        <v>36</v>
      </c>
      <c r="O456" s="7">
        <f>الجدول1[[#This Row],[Discount]]*1</f>
        <v>0.2</v>
      </c>
      <c r="P456">
        <f>الجدول1[[#This Row],[Sales_Amount]]*(1-الجدول1[[#This Row],[Discount]])</f>
        <v>6007.2080000000005</v>
      </c>
    </row>
    <row r="457" spans="1:16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 s="7">
        <v>0.28999999999999998</v>
      </c>
      <c r="L457" t="s">
        <v>27</v>
      </c>
      <c r="M457" t="s">
        <v>22</v>
      </c>
      <c r="N457" t="s">
        <v>40</v>
      </c>
      <c r="O457" s="7">
        <f>الجدول1[[#This Row],[Discount]]*1</f>
        <v>0.28999999999999998</v>
      </c>
      <c r="P457">
        <f>الجدول1[[#This Row],[Sales_Amount]]*(1-الجدول1[[#This Row],[Discount]])</f>
        <v>6499.3613000000005</v>
      </c>
    </row>
    <row r="458" spans="1:16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 s="7">
        <v>0.18</v>
      </c>
      <c r="L458" t="s">
        <v>27</v>
      </c>
      <c r="M458" t="s">
        <v>19</v>
      </c>
      <c r="N458" t="s">
        <v>36</v>
      </c>
      <c r="O458" s="7">
        <f>الجدول1[[#This Row],[Discount]]*1</f>
        <v>0.18</v>
      </c>
      <c r="P458">
        <f>الجدول1[[#This Row],[Sales_Amount]]*(1-الجدول1[[#This Row],[Discount]])</f>
        <v>3605.3842000000004</v>
      </c>
    </row>
    <row r="459" spans="1:16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 s="7">
        <v>0.17</v>
      </c>
      <c r="L459" t="s">
        <v>31</v>
      </c>
      <c r="M459" t="s">
        <v>22</v>
      </c>
      <c r="N459" t="s">
        <v>20</v>
      </c>
      <c r="O459" s="7">
        <f>الجدول1[[#This Row],[Discount]]*1</f>
        <v>0.17</v>
      </c>
      <c r="P459">
        <f>الجدول1[[#This Row],[Sales_Amount]]*(1-الجدول1[[#This Row],[Discount]])</f>
        <v>2208.8375000000001</v>
      </c>
    </row>
    <row r="460" spans="1:16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 s="7">
        <v>0</v>
      </c>
      <c r="L460" t="s">
        <v>31</v>
      </c>
      <c r="M460" t="s">
        <v>22</v>
      </c>
      <c r="N460" t="s">
        <v>20</v>
      </c>
      <c r="O460" s="7">
        <f>الجدول1[[#This Row],[Discount]]*1</f>
        <v>0</v>
      </c>
      <c r="P460">
        <f>الجدول1[[#This Row],[Sales_Amount]]*(1-الجدول1[[#This Row],[Discount]])</f>
        <v>4400.59</v>
      </c>
    </row>
    <row r="461" spans="1:16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 s="7">
        <v>0.02</v>
      </c>
      <c r="L461" t="s">
        <v>31</v>
      </c>
      <c r="M461" t="s">
        <v>22</v>
      </c>
      <c r="N461" t="s">
        <v>43</v>
      </c>
      <c r="O461" s="7">
        <f>الجدول1[[#This Row],[Discount]]*1</f>
        <v>0.02</v>
      </c>
      <c r="P461">
        <f>الجدول1[[#This Row],[Sales_Amount]]*(1-الجدول1[[#This Row],[Discount]])</f>
        <v>7116.8873999999996</v>
      </c>
    </row>
    <row r="462" spans="1:16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 s="7">
        <v>0.17</v>
      </c>
      <c r="L462" t="s">
        <v>18</v>
      </c>
      <c r="M462" t="s">
        <v>19</v>
      </c>
      <c r="N462" t="s">
        <v>32</v>
      </c>
      <c r="O462" s="7">
        <f>الجدول1[[#This Row],[Discount]]*1</f>
        <v>0.17</v>
      </c>
      <c r="P462">
        <f>الجدول1[[#This Row],[Sales_Amount]]*(1-الجدول1[[#This Row],[Discount]])</f>
        <v>157.40119999999999</v>
      </c>
    </row>
    <row r="463" spans="1:16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 s="7">
        <v>0.28000000000000003</v>
      </c>
      <c r="L463" t="s">
        <v>18</v>
      </c>
      <c r="M463" t="s">
        <v>19</v>
      </c>
      <c r="N463" t="s">
        <v>44</v>
      </c>
      <c r="O463" s="7">
        <f>الجدول1[[#This Row],[Discount]]*1</f>
        <v>0.28000000000000003</v>
      </c>
      <c r="P463">
        <f>الجدول1[[#This Row],[Sales_Amount]]*(1-الجدول1[[#This Row],[Discount]])</f>
        <v>4273.6247999999996</v>
      </c>
    </row>
    <row r="464" spans="1:16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 s="7">
        <v>0.26</v>
      </c>
      <c r="L464" t="s">
        <v>27</v>
      </c>
      <c r="M464" t="s">
        <v>22</v>
      </c>
      <c r="N464" t="s">
        <v>23</v>
      </c>
      <c r="O464" s="7">
        <f>الجدول1[[#This Row],[Discount]]*1</f>
        <v>0.26</v>
      </c>
      <c r="P464">
        <f>الجدول1[[#This Row],[Sales_Amount]]*(1-الجدول1[[#This Row],[Discount]])</f>
        <v>4566.9766</v>
      </c>
    </row>
    <row r="465" spans="1:16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 s="7">
        <v>0.28999999999999998</v>
      </c>
      <c r="L465" t="s">
        <v>18</v>
      </c>
      <c r="M465" t="s">
        <v>22</v>
      </c>
      <c r="N465" t="s">
        <v>41</v>
      </c>
      <c r="O465" s="7">
        <f>الجدول1[[#This Row],[Discount]]*1</f>
        <v>0.28999999999999998</v>
      </c>
      <c r="P465">
        <f>الجدول1[[#This Row],[Sales_Amount]]*(1-الجدول1[[#This Row],[Discount]])</f>
        <v>4553.3080999999993</v>
      </c>
    </row>
    <row r="466" spans="1:16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 s="7">
        <v>0.16</v>
      </c>
      <c r="L466" t="s">
        <v>18</v>
      </c>
      <c r="M466" t="s">
        <v>22</v>
      </c>
      <c r="N466" t="s">
        <v>43</v>
      </c>
      <c r="O466" s="7">
        <f>الجدول1[[#This Row],[Discount]]*1</f>
        <v>0.16</v>
      </c>
      <c r="P466">
        <f>الجدول1[[#This Row],[Sales_Amount]]*(1-الجدول1[[#This Row],[Discount]])</f>
        <v>2096.6567999999997</v>
      </c>
    </row>
    <row r="467" spans="1:16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 s="7">
        <v>0.24</v>
      </c>
      <c r="L467" t="s">
        <v>18</v>
      </c>
      <c r="M467" t="s">
        <v>19</v>
      </c>
      <c r="N467" t="s">
        <v>37</v>
      </c>
      <c r="O467" s="7">
        <f>الجدول1[[#This Row],[Discount]]*1</f>
        <v>0.24</v>
      </c>
      <c r="P467">
        <f>الجدول1[[#This Row],[Sales_Amount]]*(1-الجدول1[[#This Row],[Discount]])</f>
        <v>5448.5312000000004</v>
      </c>
    </row>
    <row r="468" spans="1:16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 s="7">
        <v>0.25</v>
      </c>
      <c r="L468" t="s">
        <v>18</v>
      </c>
      <c r="M468" t="s">
        <v>22</v>
      </c>
      <c r="N468" t="s">
        <v>52</v>
      </c>
      <c r="O468" s="7">
        <f>الجدول1[[#This Row],[Discount]]*1</f>
        <v>0.25</v>
      </c>
      <c r="P468">
        <f>الجدول1[[#This Row],[Sales_Amount]]*(1-الجدول1[[#This Row],[Discount]])</f>
        <v>753.58500000000004</v>
      </c>
    </row>
    <row r="469" spans="1:16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 s="7">
        <v>0.19</v>
      </c>
      <c r="L469" t="s">
        <v>27</v>
      </c>
      <c r="M469" t="s">
        <v>22</v>
      </c>
      <c r="N469" t="s">
        <v>36</v>
      </c>
      <c r="O469" s="7">
        <f>الجدول1[[#This Row],[Discount]]*1</f>
        <v>0.19</v>
      </c>
      <c r="P469">
        <f>الجدول1[[#This Row],[Sales_Amount]]*(1-الجدول1[[#This Row],[Discount]])</f>
        <v>1678.9518000000003</v>
      </c>
    </row>
    <row r="470" spans="1:16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 s="7">
        <v>0.1</v>
      </c>
      <c r="L470" t="s">
        <v>31</v>
      </c>
      <c r="M470" t="s">
        <v>22</v>
      </c>
      <c r="N470" t="s">
        <v>41</v>
      </c>
      <c r="O470" s="7">
        <f>الجدول1[[#This Row],[Discount]]*1</f>
        <v>0.1</v>
      </c>
      <c r="P470">
        <f>الجدول1[[#This Row],[Sales_Amount]]*(1-الجدول1[[#This Row],[Discount]])</f>
        <v>7908.255000000001</v>
      </c>
    </row>
    <row r="471" spans="1:16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 s="7">
        <v>0.14000000000000001</v>
      </c>
      <c r="L471" t="s">
        <v>27</v>
      </c>
      <c r="M471" t="s">
        <v>19</v>
      </c>
      <c r="N471" t="s">
        <v>51</v>
      </c>
      <c r="O471" s="7">
        <f>الجدول1[[#This Row],[Discount]]*1</f>
        <v>0.14000000000000001</v>
      </c>
      <c r="P471">
        <f>الجدول1[[#This Row],[Sales_Amount]]*(1-الجدول1[[#This Row],[Discount]])</f>
        <v>6375.4895999999999</v>
      </c>
    </row>
    <row r="472" spans="1:16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 s="7">
        <v>0.26</v>
      </c>
      <c r="L472" t="s">
        <v>18</v>
      </c>
      <c r="M472" t="s">
        <v>22</v>
      </c>
      <c r="N472" t="s">
        <v>50</v>
      </c>
      <c r="O472" s="7">
        <f>الجدول1[[#This Row],[Discount]]*1</f>
        <v>0.26</v>
      </c>
      <c r="P472">
        <f>الجدول1[[#This Row],[Sales_Amount]]*(1-الجدول1[[#This Row],[Discount]])</f>
        <v>174.69920000000002</v>
      </c>
    </row>
    <row r="473" spans="1:16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 s="7">
        <v>0.09</v>
      </c>
      <c r="L473" t="s">
        <v>31</v>
      </c>
      <c r="M473" t="s">
        <v>19</v>
      </c>
      <c r="N473" t="s">
        <v>53</v>
      </c>
      <c r="O473" s="7">
        <f>الجدول1[[#This Row],[Discount]]*1</f>
        <v>0.09</v>
      </c>
      <c r="P473">
        <f>الجدول1[[#This Row],[Sales_Amount]]*(1-الجدول1[[#This Row],[Discount]])</f>
        <v>2328.6172000000001</v>
      </c>
    </row>
    <row r="474" spans="1:16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 s="7">
        <v>0.28000000000000003</v>
      </c>
      <c r="L474" t="s">
        <v>31</v>
      </c>
      <c r="M474" t="s">
        <v>19</v>
      </c>
      <c r="N474" t="s">
        <v>50</v>
      </c>
      <c r="O474" s="7">
        <f>الجدول1[[#This Row],[Discount]]*1</f>
        <v>0.28000000000000003</v>
      </c>
      <c r="P474">
        <f>الجدول1[[#This Row],[Sales_Amount]]*(1-الجدول1[[#This Row],[Discount]])</f>
        <v>1600.2864</v>
      </c>
    </row>
    <row r="475" spans="1:16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 s="7">
        <v>7.0000000000000007E-2</v>
      </c>
      <c r="L475" t="s">
        <v>31</v>
      </c>
      <c r="M475" t="s">
        <v>22</v>
      </c>
      <c r="N475" t="s">
        <v>52</v>
      </c>
      <c r="O475" s="7">
        <f>الجدول1[[#This Row],[Discount]]*1</f>
        <v>7.0000000000000007E-2</v>
      </c>
      <c r="P475">
        <f>الجدول1[[#This Row],[Sales_Amount]]*(1-الجدول1[[#This Row],[Discount]])</f>
        <v>2586.3114</v>
      </c>
    </row>
    <row r="476" spans="1:16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 s="7">
        <v>0.22</v>
      </c>
      <c r="L476" t="s">
        <v>27</v>
      </c>
      <c r="M476" t="s">
        <v>22</v>
      </c>
      <c r="N476" t="s">
        <v>47</v>
      </c>
      <c r="O476" s="7">
        <f>الجدول1[[#This Row],[Discount]]*1</f>
        <v>0.22</v>
      </c>
      <c r="P476">
        <f>الجدول1[[#This Row],[Sales_Amount]]*(1-الجدول1[[#This Row],[Discount]])</f>
        <v>1989.6552000000001</v>
      </c>
    </row>
    <row r="477" spans="1:16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 s="7">
        <v>0.19</v>
      </c>
      <c r="L477" t="s">
        <v>31</v>
      </c>
      <c r="M477" t="s">
        <v>22</v>
      </c>
      <c r="N477" t="s">
        <v>50</v>
      </c>
      <c r="O477" s="7">
        <f>الجدول1[[#This Row],[Discount]]*1</f>
        <v>0.19</v>
      </c>
      <c r="P477">
        <f>الجدول1[[#This Row],[Sales_Amount]]*(1-الجدول1[[#This Row],[Discount]])</f>
        <v>582.3981</v>
      </c>
    </row>
    <row r="478" spans="1:16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 s="7">
        <v>0.22</v>
      </c>
      <c r="L478" t="s">
        <v>27</v>
      </c>
      <c r="M478" t="s">
        <v>19</v>
      </c>
      <c r="N478" t="s">
        <v>51</v>
      </c>
      <c r="O478" s="7">
        <f>الجدول1[[#This Row],[Discount]]*1</f>
        <v>0.22</v>
      </c>
      <c r="P478">
        <f>الجدول1[[#This Row],[Sales_Amount]]*(1-الجدول1[[#This Row],[Discount]])</f>
        <v>3621.9378000000002</v>
      </c>
    </row>
    <row r="479" spans="1:16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 s="7">
        <v>0.13</v>
      </c>
      <c r="L479" t="s">
        <v>27</v>
      </c>
      <c r="M479" t="s">
        <v>19</v>
      </c>
      <c r="N479" t="s">
        <v>41</v>
      </c>
      <c r="O479" s="7">
        <f>الجدول1[[#This Row],[Discount]]*1</f>
        <v>0.13</v>
      </c>
      <c r="P479">
        <f>الجدول1[[#This Row],[Sales_Amount]]*(1-الجدول1[[#This Row],[Discount]])</f>
        <v>6398.0322000000006</v>
      </c>
    </row>
    <row r="480" spans="1:16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 s="7">
        <v>0.28000000000000003</v>
      </c>
      <c r="L480" t="s">
        <v>18</v>
      </c>
      <c r="M480" t="s">
        <v>19</v>
      </c>
      <c r="N480" t="s">
        <v>28</v>
      </c>
      <c r="O480" s="7">
        <f>الجدول1[[#This Row],[Discount]]*1</f>
        <v>0.28000000000000003</v>
      </c>
      <c r="P480">
        <f>الجدول1[[#This Row],[Sales_Amount]]*(1-الجدول1[[#This Row],[Discount]])</f>
        <v>4396.7808000000005</v>
      </c>
    </row>
    <row r="481" spans="1:16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 s="7">
        <v>0.19</v>
      </c>
      <c r="L481" t="s">
        <v>18</v>
      </c>
      <c r="M481" t="s">
        <v>22</v>
      </c>
      <c r="N481" t="s">
        <v>50</v>
      </c>
      <c r="O481" s="7">
        <f>الجدول1[[#This Row],[Discount]]*1</f>
        <v>0.19</v>
      </c>
      <c r="P481">
        <f>الجدول1[[#This Row],[Sales_Amount]]*(1-الجدول1[[#This Row],[Discount]])</f>
        <v>5476.7583000000004</v>
      </c>
    </row>
    <row r="482" spans="1:16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 s="7">
        <v>0.09</v>
      </c>
      <c r="L482" t="s">
        <v>31</v>
      </c>
      <c r="M482" t="s">
        <v>19</v>
      </c>
      <c r="N482" t="s">
        <v>40</v>
      </c>
      <c r="O482" s="7">
        <f>الجدول1[[#This Row],[Discount]]*1</f>
        <v>0.09</v>
      </c>
      <c r="P482">
        <f>الجدول1[[#This Row],[Sales_Amount]]*(1-الجدول1[[#This Row],[Discount]])</f>
        <v>822.07580000000007</v>
      </c>
    </row>
    <row r="483" spans="1:16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 s="7">
        <v>0.19</v>
      </c>
      <c r="L483" t="s">
        <v>31</v>
      </c>
      <c r="M483" t="s">
        <v>22</v>
      </c>
      <c r="N483" t="s">
        <v>28</v>
      </c>
      <c r="O483" s="7">
        <f>الجدول1[[#This Row],[Discount]]*1</f>
        <v>0.19</v>
      </c>
      <c r="P483">
        <f>الجدول1[[#This Row],[Sales_Amount]]*(1-الجدول1[[#This Row],[Discount]])</f>
        <v>7711.0056000000004</v>
      </c>
    </row>
    <row r="484" spans="1:16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 s="7">
        <v>0.09</v>
      </c>
      <c r="L484" t="s">
        <v>18</v>
      </c>
      <c r="M484" t="s">
        <v>22</v>
      </c>
      <c r="N484" t="s">
        <v>47</v>
      </c>
      <c r="O484" s="7">
        <f>الجدول1[[#This Row],[Discount]]*1</f>
        <v>0.09</v>
      </c>
      <c r="P484">
        <f>الجدول1[[#This Row],[Sales_Amount]]*(1-الجدول1[[#This Row],[Discount]])</f>
        <v>7644.9736999999996</v>
      </c>
    </row>
    <row r="485" spans="1:16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 s="7">
        <v>0.09</v>
      </c>
      <c r="L485" t="s">
        <v>27</v>
      </c>
      <c r="M485" t="s">
        <v>22</v>
      </c>
      <c r="N485" t="s">
        <v>47</v>
      </c>
      <c r="O485" s="7">
        <f>الجدول1[[#This Row],[Discount]]*1</f>
        <v>0.09</v>
      </c>
      <c r="P485">
        <f>الجدول1[[#This Row],[Sales_Amount]]*(1-الجدول1[[#This Row],[Discount]])</f>
        <v>7344.054900000001</v>
      </c>
    </row>
    <row r="486" spans="1:16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 s="7">
        <v>0.12</v>
      </c>
      <c r="L486" t="s">
        <v>27</v>
      </c>
      <c r="M486" t="s">
        <v>19</v>
      </c>
      <c r="N486" t="s">
        <v>20</v>
      </c>
      <c r="O486" s="7">
        <f>الجدول1[[#This Row],[Discount]]*1</f>
        <v>0.12</v>
      </c>
      <c r="P486">
        <f>الجدول1[[#This Row],[Sales_Amount]]*(1-الجدول1[[#This Row],[Discount]])</f>
        <v>7257.8352000000004</v>
      </c>
    </row>
    <row r="487" spans="1:16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 s="7">
        <v>0.26</v>
      </c>
      <c r="L487" t="s">
        <v>18</v>
      </c>
      <c r="M487" t="s">
        <v>19</v>
      </c>
      <c r="N487" t="s">
        <v>41</v>
      </c>
      <c r="O487" s="7">
        <f>الجدول1[[#This Row],[Discount]]*1</f>
        <v>0.26</v>
      </c>
      <c r="P487">
        <f>الجدول1[[#This Row],[Sales_Amount]]*(1-الجدول1[[#This Row],[Discount]])</f>
        <v>6907.0342000000001</v>
      </c>
    </row>
    <row r="488" spans="1:16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 s="7">
        <v>0.15</v>
      </c>
      <c r="L488" t="s">
        <v>27</v>
      </c>
      <c r="M488" t="s">
        <v>19</v>
      </c>
      <c r="N488" t="s">
        <v>50</v>
      </c>
      <c r="O488" s="7">
        <f>الجدول1[[#This Row],[Discount]]*1</f>
        <v>0.15</v>
      </c>
      <c r="P488">
        <f>الجدول1[[#This Row],[Sales_Amount]]*(1-الجدول1[[#This Row],[Discount]])</f>
        <v>4664.8934999999992</v>
      </c>
    </row>
    <row r="489" spans="1:16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 s="7">
        <v>0.2</v>
      </c>
      <c r="L489" t="s">
        <v>18</v>
      </c>
      <c r="M489" t="s">
        <v>22</v>
      </c>
      <c r="N489" t="s">
        <v>39</v>
      </c>
      <c r="O489" s="7">
        <f>الجدول1[[#This Row],[Discount]]*1</f>
        <v>0.2</v>
      </c>
      <c r="P489">
        <f>الجدول1[[#This Row],[Sales_Amount]]*(1-الجدول1[[#This Row],[Discount]])</f>
        <v>1666.232</v>
      </c>
    </row>
    <row r="490" spans="1:16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 s="7">
        <v>0.12</v>
      </c>
      <c r="L490" t="s">
        <v>18</v>
      </c>
      <c r="M490" t="s">
        <v>19</v>
      </c>
      <c r="N490" t="s">
        <v>37</v>
      </c>
      <c r="O490" s="7">
        <f>الجدول1[[#This Row],[Discount]]*1</f>
        <v>0.12</v>
      </c>
      <c r="P490">
        <f>الجدول1[[#This Row],[Sales_Amount]]*(1-الجدول1[[#This Row],[Discount]])</f>
        <v>5461.4207999999999</v>
      </c>
    </row>
    <row r="491" spans="1:16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 s="7">
        <v>0.08</v>
      </c>
      <c r="L491" t="s">
        <v>31</v>
      </c>
      <c r="M491" t="s">
        <v>19</v>
      </c>
      <c r="N491" t="s">
        <v>37</v>
      </c>
      <c r="O491" s="7">
        <f>الجدول1[[#This Row],[Discount]]*1</f>
        <v>0.08</v>
      </c>
      <c r="P491">
        <f>الجدول1[[#This Row],[Sales_Amount]]*(1-الجدول1[[#This Row],[Discount]])</f>
        <v>6858.1675999999998</v>
      </c>
    </row>
    <row r="492" spans="1:16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 s="7">
        <v>0.28999999999999998</v>
      </c>
      <c r="L492" t="s">
        <v>31</v>
      </c>
      <c r="M492" t="s">
        <v>22</v>
      </c>
      <c r="N492" t="s">
        <v>45</v>
      </c>
      <c r="O492" s="7">
        <f>الجدول1[[#This Row],[Discount]]*1</f>
        <v>0.28999999999999998</v>
      </c>
      <c r="P492">
        <f>الجدول1[[#This Row],[Sales_Amount]]*(1-الجدول1[[#This Row],[Discount]])</f>
        <v>5257.8198000000002</v>
      </c>
    </row>
    <row r="493" spans="1:16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 s="7">
        <v>0.18</v>
      </c>
      <c r="L493" t="s">
        <v>18</v>
      </c>
      <c r="M493" t="s">
        <v>22</v>
      </c>
      <c r="N493" t="s">
        <v>48</v>
      </c>
      <c r="O493" s="7">
        <f>الجدول1[[#This Row],[Discount]]*1</f>
        <v>0.18</v>
      </c>
      <c r="P493">
        <f>الجدول1[[#This Row],[Sales_Amount]]*(1-الجدول1[[#This Row],[Discount]])</f>
        <v>4315.1270000000004</v>
      </c>
    </row>
    <row r="494" spans="1:16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 s="7">
        <v>0.28000000000000003</v>
      </c>
      <c r="L494" t="s">
        <v>31</v>
      </c>
      <c r="M494" t="s">
        <v>19</v>
      </c>
      <c r="N494" t="s">
        <v>41</v>
      </c>
      <c r="O494" s="7">
        <f>الجدول1[[#This Row],[Discount]]*1</f>
        <v>0.28000000000000003</v>
      </c>
      <c r="P494">
        <f>الجدول1[[#This Row],[Sales_Amount]]*(1-الجدول1[[#This Row],[Discount]])</f>
        <v>559.97280000000001</v>
      </c>
    </row>
    <row r="495" spans="1:16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 s="7">
        <v>0.06</v>
      </c>
      <c r="L495" t="s">
        <v>18</v>
      </c>
      <c r="M495" t="s">
        <v>22</v>
      </c>
      <c r="N495" t="s">
        <v>40</v>
      </c>
      <c r="O495" s="7">
        <f>الجدول1[[#This Row],[Discount]]*1</f>
        <v>0.06</v>
      </c>
      <c r="P495">
        <f>الجدول1[[#This Row],[Sales_Amount]]*(1-الجدول1[[#This Row],[Discount]])</f>
        <v>3547.5787999999998</v>
      </c>
    </row>
    <row r="496" spans="1:16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 s="7">
        <v>0.04</v>
      </c>
      <c r="L496" t="s">
        <v>27</v>
      </c>
      <c r="M496" t="s">
        <v>19</v>
      </c>
      <c r="N496" t="s">
        <v>23</v>
      </c>
      <c r="O496" s="7">
        <f>الجدول1[[#This Row],[Discount]]*1</f>
        <v>0.04</v>
      </c>
      <c r="P496">
        <f>الجدول1[[#This Row],[Sales_Amount]]*(1-الجدول1[[#This Row],[Discount]])</f>
        <v>8846.9663999999993</v>
      </c>
    </row>
    <row r="497" spans="1:16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 s="7">
        <v>0.26</v>
      </c>
      <c r="L497" t="s">
        <v>27</v>
      </c>
      <c r="M497" t="s">
        <v>22</v>
      </c>
      <c r="N497" t="s">
        <v>53</v>
      </c>
      <c r="O497" s="7">
        <f>الجدول1[[#This Row],[Discount]]*1</f>
        <v>0.26</v>
      </c>
      <c r="P497">
        <f>الجدول1[[#This Row],[Sales_Amount]]*(1-الجدول1[[#This Row],[Discount]])</f>
        <v>4355.6696000000002</v>
      </c>
    </row>
    <row r="498" spans="1:16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 s="7">
        <v>0.2</v>
      </c>
      <c r="L498" t="s">
        <v>27</v>
      </c>
      <c r="M498" t="s">
        <v>22</v>
      </c>
      <c r="N498" t="s">
        <v>40</v>
      </c>
      <c r="O498" s="7">
        <f>الجدول1[[#This Row],[Discount]]*1</f>
        <v>0.2</v>
      </c>
      <c r="P498">
        <f>الجدول1[[#This Row],[Sales_Amount]]*(1-الجدول1[[#This Row],[Discount]])</f>
        <v>4343.5919999999996</v>
      </c>
    </row>
    <row r="499" spans="1:16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 s="7">
        <v>0.06</v>
      </c>
      <c r="L499" t="s">
        <v>27</v>
      </c>
      <c r="M499" t="s">
        <v>19</v>
      </c>
      <c r="N499" t="s">
        <v>48</v>
      </c>
      <c r="O499" s="7">
        <f>الجدول1[[#This Row],[Discount]]*1</f>
        <v>0.06</v>
      </c>
      <c r="P499">
        <f>الجدول1[[#This Row],[Sales_Amount]]*(1-الجدول1[[#This Row],[Discount]])</f>
        <v>2595.951</v>
      </c>
    </row>
    <row r="500" spans="1:16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 s="7">
        <v>0.08</v>
      </c>
      <c r="L500" t="s">
        <v>18</v>
      </c>
      <c r="M500" t="s">
        <v>22</v>
      </c>
      <c r="N500" t="s">
        <v>23</v>
      </c>
      <c r="O500" s="7">
        <f>الجدول1[[#This Row],[Discount]]*1</f>
        <v>0.08</v>
      </c>
      <c r="P500">
        <f>الجدول1[[#This Row],[Sales_Amount]]*(1-الجدول1[[#This Row],[Discount]])</f>
        <v>3447.8288000000002</v>
      </c>
    </row>
    <row r="501" spans="1:16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 s="7">
        <v>0.24</v>
      </c>
      <c r="L501" t="s">
        <v>27</v>
      </c>
      <c r="M501" t="s">
        <v>22</v>
      </c>
      <c r="N501" t="s">
        <v>46</v>
      </c>
      <c r="O501" s="7">
        <f>الجدول1[[#This Row],[Discount]]*1</f>
        <v>0.24</v>
      </c>
      <c r="P501">
        <f>الجدول1[[#This Row],[Sales_Amount]]*(1-الجدول1[[#This Row],[Discount]])</f>
        <v>6812.5868</v>
      </c>
    </row>
    <row r="502" spans="1:16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 s="7">
        <v>0.14000000000000001</v>
      </c>
      <c r="L502" t="s">
        <v>27</v>
      </c>
      <c r="M502" t="s">
        <v>22</v>
      </c>
      <c r="N502" t="s">
        <v>40</v>
      </c>
      <c r="O502" s="7">
        <f>الجدول1[[#This Row],[Discount]]*1</f>
        <v>0.14000000000000001</v>
      </c>
      <c r="P502">
        <f>الجدول1[[#This Row],[Sales_Amount]]*(1-الجدول1[[#This Row],[Discount]])</f>
        <v>5760.2627999999995</v>
      </c>
    </row>
    <row r="503" spans="1:16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 s="7">
        <v>0.2</v>
      </c>
      <c r="L503" t="s">
        <v>27</v>
      </c>
      <c r="M503" t="s">
        <v>19</v>
      </c>
      <c r="N503" t="s">
        <v>43</v>
      </c>
      <c r="O503" s="7">
        <f>الجدول1[[#This Row],[Discount]]*1</f>
        <v>0.2</v>
      </c>
      <c r="P503">
        <f>الجدول1[[#This Row],[Sales_Amount]]*(1-الجدول1[[#This Row],[Discount]])</f>
        <v>6316.1040000000003</v>
      </c>
    </row>
    <row r="504" spans="1:16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 s="7">
        <v>0.1</v>
      </c>
      <c r="L504" t="s">
        <v>27</v>
      </c>
      <c r="M504" t="s">
        <v>22</v>
      </c>
      <c r="N504" t="s">
        <v>41</v>
      </c>
      <c r="O504" s="7">
        <f>الجدول1[[#This Row],[Discount]]*1</f>
        <v>0.1</v>
      </c>
      <c r="P504">
        <f>الجدول1[[#This Row],[Sales_Amount]]*(1-الجدول1[[#This Row],[Discount]])</f>
        <v>4138.2180000000008</v>
      </c>
    </row>
    <row r="505" spans="1:16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 s="7">
        <v>0.11</v>
      </c>
      <c r="L505" t="s">
        <v>18</v>
      </c>
      <c r="M505" t="s">
        <v>22</v>
      </c>
      <c r="N505" t="s">
        <v>39</v>
      </c>
      <c r="O505" s="7">
        <f>الجدول1[[#This Row],[Discount]]*1</f>
        <v>0.11</v>
      </c>
      <c r="P505">
        <f>الجدول1[[#This Row],[Sales_Amount]]*(1-الجدول1[[#This Row],[Discount]])</f>
        <v>5642.1104999999998</v>
      </c>
    </row>
    <row r="506" spans="1:16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 s="7">
        <v>0.3</v>
      </c>
      <c r="L506" t="s">
        <v>27</v>
      </c>
      <c r="M506" t="s">
        <v>19</v>
      </c>
      <c r="N506" t="s">
        <v>23</v>
      </c>
      <c r="O506" s="7">
        <f>الجدول1[[#This Row],[Discount]]*1</f>
        <v>0.3</v>
      </c>
      <c r="P506">
        <f>الجدول1[[#This Row],[Sales_Amount]]*(1-الجدول1[[#This Row],[Discount]])</f>
        <v>1791.3</v>
      </c>
    </row>
    <row r="507" spans="1:16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 s="7">
        <v>7.0000000000000007E-2</v>
      </c>
      <c r="L507" t="s">
        <v>31</v>
      </c>
      <c r="M507" t="s">
        <v>19</v>
      </c>
      <c r="N507" t="s">
        <v>46</v>
      </c>
      <c r="O507" s="7">
        <f>الجدول1[[#This Row],[Discount]]*1</f>
        <v>7.0000000000000007E-2</v>
      </c>
      <c r="P507">
        <f>الجدول1[[#This Row],[Sales_Amount]]*(1-الجدول1[[#This Row],[Discount]])</f>
        <v>6588.1758</v>
      </c>
    </row>
    <row r="508" spans="1:16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 s="7">
        <v>0.15</v>
      </c>
      <c r="L508" t="s">
        <v>31</v>
      </c>
      <c r="M508" t="s">
        <v>22</v>
      </c>
      <c r="N508" t="s">
        <v>48</v>
      </c>
      <c r="O508" s="7">
        <f>الجدول1[[#This Row],[Discount]]*1</f>
        <v>0.15</v>
      </c>
      <c r="P508">
        <f>الجدول1[[#This Row],[Sales_Amount]]*(1-الجدول1[[#This Row],[Discount]])</f>
        <v>3683.2624999999998</v>
      </c>
    </row>
    <row r="509" spans="1:16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 s="7">
        <v>0.25</v>
      </c>
      <c r="L509" t="s">
        <v>31</v>
      </c>
      <c r="M509" t="s">
        <v>22</v>
      </c>
      <c r="N509" t="s">
        <v>48</v>
      </c>
      <c r="O509" s="7">
        <f>الجدول1[[#This Row],[Discount]]*1</f>
        <v>0.25</v>
      </c>
      <c r="P509">
        <f>الجدول1[[#This Row],[Sales_Amount]]*(1-الجدول1[[#This Row],[Discount]])</f>
        <v>3360.8999999999996</v>
      </c>
    </row>
    <row r="510" spans="1:16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 s="7">
        <v>7.0000000000000007E-2</v>
      </c>
      <c r="L510" t="s">
        <v>31</v>
      </c>
      <c r="M510" t="s">
        <v>22</v>
      </c>
      <c r="N510" t="s">
        <v>48</v>
      </c>
      <c r="O510" s="7">
        <f>الجدول1[[#This Row],[Discount]]*1</f>
        <v>7.0000000000000007E-2</v>
      </c>
      <c r="P510">
        <f>الجدول1[[#This Row],[Sales_Amount]]*(1-الجدول1[[#This Row],[Discount]])</f>
        <v>6071.3096999999998</v>
      </c>
    </row>
    <row r="511" spans="1:16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 s="7">
        <v>0.12</v>
      </c>
      <c r="L511" t="s">
        <v>31</v>
      </c>
      <c r="M511" t="s">
        <v>19</v>
      </c>
      <c r="N511" t="s">
        <v>46</v>
      </c>
      <c r="O511" s="7">
        <f>الجدول1[[#This Row],[Discount]]*1</f>
        <v>0.12</v>
      </c>
      <c r="P511">
        <f>الجدول1[[#This Row],[Sales_Amount]]*(1-الجدول1[[#This Row],[Discount]])</f>
        <v>8244.8783999999996</v>
      </c>
    </row>
    <row r="512" spans="1:16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 s="7">
        <v>0.18</v>
      </c>
      <c r="L512" t="s">
        <v>31</v>
      </c>
      <c r="M512" t="s">
        <v>22</v>
      </c>
      <c r="N512" t="s">
        <v>39</v>
      </c>
      <c r="O512" s="7">
        <f>الجدول1[[#This Row],[Discount]]*1</f>
        <v>0.18</v>
      </c>
      <c r="P512">
        <f>الجدول1[[#This Row],[Sales_Amount]]*(1-الجدول1[[#This Row],[Discount]])</f>
        <v>601.60120000000006</v>
      </c>
    </row>
    <row r="513" spans="1:16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 s="7">
        <v>0.14000000000000001</v>
      </c>
      <c r="L513" t="s">
        <v>18</v>
      </c>
      <c r="M513" t="s">
        <v>19</v>
      </c>
      <c r="N513" t="s">
        <v>48</v>
      </c>
      <c r="O513" s="7">
        <f>الجدول1[[#This Row],[Discount]]*1</f>
        <v>0.14000000000000001</v>
      </c>
      <c r="P513">
        <f>الجدول1[[#This Row],[Sales_Amount]]*(1-الجدول1[[#This Row],[Discount]])</f>
        <v>7107.8655999999992</v>
      </c>
    </row>
    <row r="514" spans="1:16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 s="7">
        <v>0.14000000000000001</v>
      </c>
      <c r="L514" t="s">
        <v>31</v>
      </c>
      <c r="M514" t="s">
        <v>19</v>
      </c>
      <c r="N514" t="s">
        <v>45</v>
      </c>
      <c r="O514" s="7">
        <f>الجدول1[[#This Row],[Discount]]*1</f>
        <v>0.14000000000000001</v>
      </c>
      <c r="P514">
        <f>الجدول1[[#This Row],[Sales_Amount]]*(1-الجدول1[[#This Row],[Discount]])</f>
        <v>2575.3474000000001</v>
      </c>
    </row>
    <row r="515" spans="1:16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 s="7">
        <v>0.11</v>
      </c>
      <c r="L515" t="s">
        <v>27</v>
      </c>
      <c r="M515" t="s">
        <v>22</v>
      </c>
      <c r="N515" t="s">
        <v>49</v>
      </c>
      <c r="O515" s="7">
        <f>الجدول1[[#This Row],[Discount]]*1</f>
        <v>0.11</v>
      </c>
      <c r="P515">
        <f>الجدول1[[#This Row],[Sales_Amount]]*(1-الجدول1[[#This Row],[Discount]])</f>
        <v>4000.3720000000003</v>
      </c>
    </row>
    <row r="516" spans="1:16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 s="7">
        <v>0.18</v>
      </c>
      <c r="L516" t="s">
        <v>31</v>
      </c>
      <c r="M516" t="s">
        <v>22</v>
      </c>
      <c r="N516" t="s">
        <v>44</v>
      </c>
      <c r="O516" s="7">
        <f>الجدول1[[#This Row],[Discount]]*1</f>
        <v>0.18</v>
      </c>
      <c r="P516">
        <f>الجدول1[[#This Row],[Sales_Amount]]*(1-الجدول1[[#This Row],[Discount]])</f>
        <v>259.89080000000001</v>
      </c>
    </row>
    <row r="517" spans="1:16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 s="7">
        <v>0.19</v>
      </c>
      <c r="L517" t="s">
        <v>18</v>
      </c>
      <c r="M517" t="s">
        <v>19</v>
      </c>
      <c r="N517" t="s">
        <v>51</v>
      </c>
      <c r="O517" s="7">
        <f>الجدول1[[#This Row],[Discount]]*1</f>
        <v>0.19</v>
      </c>
      <c r="P517">
        <f>الجدول1[[#This Row],[Sales_Amount]]*(1-الجدول1[[#This Row],[Discount]])</f>
        <v>2495.0916000000002</v>
      </c>
    </row>
    <row r="518" spans="1:16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 s="7">
        <v>0.2</v>
      </c>
      <c r="L518" t="s">
        <v>31</v>
      </c>
      <c r="M518" t="s">
        <v>22</v>
      </c>
      <c r="N518" t="s">
        <v>45</v>
      </c>
      <c r="O518" s="7">
        <f>الجدول1[[#This Row],[Discount]]*1</f>
        <v>0.2</v>
      </c>
      <c r="P518">
        <f>الجدول1[[#This Row],[Sales_Amount]]*(1-الجدول1[[#This Row],[Discount]])</f>
        <v>4060.84</v>
      </c>
    </row>
    <row r="519" spans="1:16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 s="7">
        <v>0.02</v>
      </c>
      <c r="L519" t="s">
        <v>27</v>
      </c>
      <c r="M519" t="s">
        <v>22</v>
      </c>
      <c r="N519" t="s">
        <v>37</v>
      </c>
      <c r="O519" s="7">
        <f>الجدول1[[#This Row],[Discount]]*1</f>
        <v>0.02</v>
      </c>
      <c r="P519">
        <f>الجدول1[[#This Row],[Sales_Amount]]*(1-الجدول1[[#This Row],[Discount]])</f>
        <v>643.0172</v>
      </c>
    </row>
    <row r="520" spans="1:16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 s="7">
        <v>0.19</v>
      </c>
      <c r="L520" t="s">
        <v>27</v>
      </c>
      <c r="M520" t="s">
        <v>19</v>
      </c>
      <c r="N520" t="s">
        <v>39</v>
      </c>
      <c r="O520" s="7">
        <f>الجدول1[[#This Row],[Discount]]*1</f>
        <v>0.19</v>
      </c>
      <c r="P520">
        <f>الجدول1[[#This Row],[Sales_Amount]]*(1-الجدول1[[#This Row],[Discount]])</f>
        <v>4019.0985000000005</v>
      </c>
    </row>
    <row r="521" spans="1:16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 s="7">
        <v>0.28999999999999998</v>
      </c>
      <c r="L521" t="s">
        <v>18</v>
      </c>
      <c r="M521" t="s">
        <v>22</v>
      </c>
      <c r="N521" t="s">
        <v>47</v>
      </c>
      <c r="O521" s="7">
        <f>الجدول1[[#This Row],[Discount]]*1</f>
        <v>0.28999999999999998</v>
      </c>
      <c r="P521">
        <f>الجدول1[[#This Row],[Sales_Amount]]*(1-الجدول1[[#This Row],[Discount]])</f>
        <v>6587.6639999999998</v>
      </c>
    </row>
    <row r="522" spans="1:16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 s="7">
        <v>0.16</v>
      </c>
      <c r="L522" t="s">
        <v>18</v>
      </c>
      <c r="M522" t="s">
        <v>19</v>
      </c>
      <c r="N522" t="s">
        <v>41</v>
      </c>
      <c r="O522" s="7">
        <f>الجدول1[[#This Row],[Discount]]*1</f>
        <v>0.16</v>
      </c>
      <c r="P522">
        <f>الجدول1[[#This Row],[Sales_Amount]]*(1-الجدول1[[#This Row],[Discount]])</f>
        <v>960.44760000000008</v>
      </c>
    </row>
    <row r="523" spans="1:16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 s="7">
        <v>0.21</v>
      </c>
      <c r="L523" t="s">
        <v>18</v>
      </c>
      <c r="M523" t="s">
        <v>22</v>
      </c>
      <c r="N523" t="s">
        <v>23</v>
      </c>
      <c r="O523" s="7">
        <f>الجدول1[[#This Row],[Discount]]*1</f>
        <v>0.21</v>
      </c>
      <c r="P523">
        <f>الجدول1[[#This Row],[Sales_Amount]]*(1-الجدول1[[#This Row],[Discount]])</f>
        <v>6057.6884</v>
      </c>
    </row>
    <row r="524" spans="1:16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 s="7">
        <v>0.17</v>
      </c>
      <c r="L524" t="s">
        <v>18</v>
      </c>
      <c r="M524" t="s">
        <v>19</v>
      </c>
      <c r="N524" t="s">
        <v>47</v>
      </c>
      <c r="O524" s="7">
        <f>الجدول1[[#This Row],[Discount]]*1</f>
        <v>0.17</v>
      </c>
      <c r="P524">
        <f>الجدول1[[#This Row],[Sales_Amount]]*(1-الجدول1[[#This Row],[Discount]])</f>
        <v>3449.2641999999996</v>
      </c>
    </row>
    <row r="525" spans="1:16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 s="7">
        <v>0.26</v>
      </c>
      <c r="L525" t="s">
        <v>31</v>
      </c>
      <c r="M525" t="s">
        <v>19</v>
      </c>
      <c r="N525" t="s">
        <v>32</v>
      </c>
      <c r="O525" s="7">
        <f>الجدول1[[#This Row],[Discount]]*1</f>
        <v>0.26</v>
      </c>
      <c r="P525">
        <f>الجدول1[[#This Row],[Sales_Amount]]*(1-الجدول1[[#This Row],[Discount]])</f>
        <v>4873.8028000000004</v>
      </c>
    </row>
    <row r="526" spans="1:16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 s="7">
        <v>0.28000000000000003</v>
      </c>
      <c r="L526" t="s">
        <v>31</v>
      </c>
      <c r="M526" t="s">
        <v>22</v>
      </c>
      <c r="N526" t="s">
        <v>45</v>
      </c>
      <c r="O526" s="7">
        <f>الجدول1[[#This Row],[Discount]]*1</f>
        <v>0.28000000000000003</v>
      </c>
      <c r="P526">
        <f>الجدول1[[#This Row],[Sales_Amount]]*(1-الجدول1[[#This Row],[Discount]])</f>
        <v>1926.9648</v>
      </c>
    </row>
    <row r="527" spans="1:16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 s="7">
        <v>0.06</v>
      </c>
      <c r="L527" t="s">
        <v>27</v>
      </c>
      <c r="M527" t="s">
        <v>19</v>
      </c>
      <c r="N527" t="s">
        <v>50</v>
      </c>
      <c r="O527" s="7">
        <f>الجدول1[[#This Row],[Discount]]*1</f>
        <v>0.06</v>
      </c>
      <c r="P527">
        <f>الجدول1[[#This Row],[Sales_Amount]]*(1-الجدول1[[#This Row],[Discount]])</f>
        <v>1578.2318</v>
      </c>
    </row>
    <row r="528" spans="1:16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 s="7">
        <v>0.13</v>
      </c>
      <c r="L528" t="s">
        <v>18</v>
      </c>
      <c r="M528" t="s">
        <v>19</v>
      </c>
      <c r="N528" t="s">
        <v>23</v>
      </c>
      <c r="O528" s="7">
        <f>الجدول1[[#This Row],[Discount]]*1</f>
        <v>0.13</v>
      </c>
      <c r="P528">
        <f>الجدول1[[#This Row],[Sales_Amount]]*(1-الجدول1[[#This Row],[Discount]])</f>
        <v>1469.0645999999999</v>
      </c>
    </row>
    <row r="529" spans="1:16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 s="7">
        <v>0.12</v>
      </c>
      <c r="L529" t="s">
        <v>18</v>
      </c>
      <c r="M529" t="s">
        <v>22</v>
      </c>
      <c r="N529" t="s">
        <v>53</v>
      </c>
      <c r="O529" s="7">
        <f>الجدول1[[#This Row],[Discount]]*1</f>
        <v>0.12</v>
      </c>
      <c r="P529">
        <f>الجدول1[[#This Row],[Sales_Amount]]*(1-الجدول1[[#This Row],[Discount]])</f>
        <v>702.12559999999996</v>
      </c>
    </row>
    <row r="530" spans="1:16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 s="7">
        <v>0.12</v>
      </c>
      <c r="L530" t="s">
        <v>31</v>
      </c>
      <c r="M530" t="s">
        <v>22</v>
      </c>
      <c r="N530" t="s">
        <v>49</v>
      </c>
      <c r="O530" s="7">
        <f>الجدول1[[#This Row],[Discount]]*1</f>
        <v>0.12</v>
      </c>
      <c r="P530">
        <f>الجدول1[[#This Row],[Sales_Amount]]*(1-الجدول1[[#This Row],[Discount]])</f>
        <v>1705.3520000000001</v>
      </c>
    </row>
    <row r="531" spans="1:16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 s="7">
        <v>0.04</v>
      </c>
      <c r="L531" t="s">
        <v>18</v>
      </c>
      <c r="M531" t="s">
        <v>22</v>
      </c>
      <c r="N531" t="s">
        <v>39</v>
      </c>
      <c r="O531" s="7">
        <f>الجدول1[[#This Row],[Discount]]*1</f>
        <v>0.04</v>
      </c>
      <c r="P531">
        <f>الجدول1[[#This Row],[Sales_Amount]]*(1-الجدول1[[#This Row],[Discount]])</f>
        <v>6408.7392</v>
      </c>
    </row>
    <row r="532" spans="1:16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 s="7">
        <v>0.24</v>
      </c>
      <c r="L532" t="s">
        <v>27</v>
      </c>
      <c r="M532" t="s">
        <v>19</v>
      </c>
      <c r="N532" t="s">
        <v>45</v>
      </c>
      <c r="O532" s="7">
        <f>الجدول1[[#This Row],[Discount]]*1</f>
        <v>0.24</v>
      </c>
      <c r="P532">
        <f>الجدول1[[#This Row],[Sales_Amount]]*(1-الجدول1[[#This Row],[Discount]])</f>
        <v>6709.8423999999995</v>
      </c>
    </row>
    <row r="533" spans="1:16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 s="7">
        <v>0.01</v>
      </c>
      <c r="L533" t="s">
        <v>27</v>
      </c>
      <c r="M533" t="s">
        <v>19</v>
      </c>
      <c r="N533" t="s">
        <v>39</v>
      </c>
      <c r="O533" s="7">
        <f>الجدول1[[#This Row],[Discount]]*1</f>
        <v>0.01</v>
      </c>
      <c r="P533">
        <f>الجدول1[[#This Row],[Sales_Amount]]*(1-الجدول1[[#This Row],[Discount]])</f>
        <v>8078.2416000000003</v>
      </c>
    </row>
    <row r="534" spans="1:16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 s="7">
        <v>0.16</v>
      </c>
      <c r="L534" t="s">
        <v>18</v>
      </c>
      <c r="M534" t="s">
        <v>19</v>
      </c>
      <c r="N534" t="s">
        <v>23</v>
      </c>
      <c r="O534" s="7">
        <f>الجدول1[[#This Row],[Discount]]*1</f>
        <v>0.16</v>
      </c>
      <c r="P534">
        <f>الجدول1[[#This Row],[Sales_Amount]]*(1-الجدول1[[#This Row],[Discount]])</f>
        <v>5781.5771999999997</v>
      </c>
    </row>
    <row r="535" spans="1:16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 s="7">
        <v>0.2</v>
      </c>
      <c r="L535" t="s">
        <v>27</v>
      </c>
      <c r="M535" t="s">
        <v>22</v>
      </c>
      <c r="N535" t="s">
        <v>41</v>
      </c>
      <c r="O535" s="7">
        <f>الجدول1[[#This Row],[Discount]]*1</f>
        <v>0.2</v>
      </c>
      <c r="P535">
        <f>الجدول1[[#This Row],[Sales_Amount]]*(1-الجدول1[[#This Row],[Discount]])</f>
        <v>954.62400000000002</v>
      </c>
    </row>
    <row r="536" spans="1:16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 s="7">
        <v>0.06</v>
      </c>
      <c r="L536" t="s">
        <v>27</v>
      </c>
      <c r="M536" t="s">
        <v>19</v>
      </c>
      <c r="N536" t="s">
        <v>46</v>
      </c>
      <c r="O536" s="7">
        <f>الجدول1[[#This Row],[Discount]]*1</f>
        <v>0.06</v>
      </c>
      <c r="P536">
        <f>الجدول1[[#This Row],[Sales_Amount]]*(1-الجدول1[[#This Row],[Discount]])</f>
        <v>2785.1823999999997</v>
      </c>
    </row>
    <row r="537" spans="1:16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 s="7">
        <v>0.27</v>
      </c>
      <c r="L537" t="s">
        <v>31</v>
      </c>
      <c r="M537" t="s">
        <v>19</v>
      </c>
      <c r="N537" t="s">
        <v>48</v>
      </c>
      <c r="O537" s="7">
        <f>الجدول1[[#This Row],[Discount]]*1</f>
        <v>0.27</v>
      </c>
      <c r="P537">
        <f>الجدول1[[#This Row],[Sales_Amount]]*(1-الجدول1[[#This Row],[Discount]])</f>
        <v>2311.9757</v>
      </c>
    </row>
    <row r="538" spans="1:16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 s="7">
        <v>0.25</v>
      </c>
      <c r="L538" t="s">
        <v>27</v>
      </c>
      <c r="M538" t="s">
        <v>22</v>
      </c>
      <c r="N538" t="s">
        <v>52</v>
      </c>
      <c r="O538" s="7">
        <f>الجدول1[[#This Row],[Discount]]*1</f>
        <v>0.25</v>
      </c>
      <c r="P538">
        <f>الجدول1[[#This Row],[Sales_Amount]]*(1-الجدول1[[#This Row],[Discount]])</f>
        <v>1930.9275000000002</v>
      </c>
    </row>
    <row r="539" spans="1:16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 s="7">
        <v>0.14000000000000001</v>
      </c>
      <c r="L539" t="s">
        <v>18</v>
      </c>
      <c r="M539" t="s">
        <v>19</v>
      </c>
      <c r="N539" t="s">
        <v>49</v>
      </c>
      <c r="O539" s="7">
        <f>الجدول1[[#This Row],[Discount]]*1</f>
        <v>0.14000000000000001</v>
      </c>
      <c r="P539">
        <f>الجدول1[[#This Row],[Sales_Amount]]*(1-الجدول1[[#This Row],[Discount]])</f>
        <v>4470.7616000000007</v>
      </c>
    </row>
    <row r="540" spans="1:16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 s="7">
        <v>0.12</v>
      </c>
      <c r="L540" t="s">
        <v>18</v>
      </c>
      <c r="M540" t="s">
        <v>22</v>
      </c>
      <c r="N540" t="s">
        <v>51</v>
      </c>
      <c r="O540" s="7">
        <f>الجدول1[[#This Row],[Discount]]*1</f>
        <v>0.12</v>
      </c>
      <c r="P540">
        <f>الجدول1[[#This Row],[Sales_Amount]]*(1-الجدول1[[#This Row],[Discount]])</f>
        <v>4753.7424000000001</v>
      </c>
    </row>
    <row r="541" spans="1:16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 s="7">
        <v>7.0000000000000007E-2</v>
      </c>
      <c r="L541" t="s">
        <v>27</v>
      </c>
      <c r="M541" t="s">
        <v>22</v>
      </c>
      <c r="N541" t="s">
        <v>43</v>
      </c>
      <c r="O541" s="7">
        <f>الجدول1[[#This Row],[Discount]]*1</f>
        <v>7.0000000000000007E-2</v>
      </c>
      <c r="P541">
        <f>الجدول1[[#This Row],[Sales_Amount]]*(1-الجدول1[[#This Row],[Discount]])</f>
        <v>3378.8480999999997</v>
      </c>
    </row>
    <row r="542" spans="1:16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 s="7">
        <v>0.22</v>
      </c>
      <c r="L542" t="s">
        <v>18</v>
      </c>
      <c r="M542" t="s">
        <v>22</v>
      </c>
      <c r="N542" t="s">
        <v>52</v>
      </c>
      <c r="O542" s="7">
        <f>الجدول1[[#This Row],[Discount]]*1</f>
        <v>0.22</v>
      </c>
      <c r="P542">
        <f>الجدول1[[#This Row],[Sales_Amount]]*(1-الجدول1[[#This Row],[Discount]])</f>
        <v>2809.9578000000001</v>
      </c>
    </row>
    <row r="543" spans="1:16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 s="7">
        <v>0.04</v>
      </c>
      <c r="L543" t="s">
        <v>31</v>
      </c>
      <c r="M543" t="s">
        <v>19</v>
      </c>
      <c r="N543" t="s">
        <v>43</v>
      </c>
      <c r="O543" s="7">
        <f>الجدول1[[#This Row],[Discount]]*1</f>
        <v>0.04</v>
      </c>
      <c r="P543">
        <f>الجدول1[[#This Row],[Sales_Amount]]*(1-الجدول1[[#This Row],[Discount]])</f>
        <v>7970.5920000000006</v>
      </c>
    </row>
    <row r="544" spans="1:16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 s="7">
        <v>0.2</v>
      </c>
      <c r="L544" t="s">
        <v>27</v>
      </c>
      <c r="M544" t="s">
        <v>19</v>
      </c>
      <c r="N544" t="s">
        <v>32</v>
      </c>
      <c r="O544" s="7">
        <f>الجدول1[[#This Row],[Discount]]*1</f>
        <v>0.2</v>
      </c>
      <c r="P544">
        <f>الجدول1[[#This Row],[Sales_Amount]]*(1-الجدول1[[#This Row],[Discount]])</f>
        <v>6331.2000000000007</v>
      </c>
    </row>
    <row r="545" spans="1:16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 s="7">
        <v>0.25</v>
      </c>
      <c r="L545" t="s">
        <v>27</v>
      </c>
      <c r="M545" t="s">
        <v>19</v>
      </c>
      <c r="N545" t="s">
        <v>50</v>
      </c>
      <c r="O545" s="7">
        <f>الجدول1[[#This Row],[Discount]]*1</f>
        <v>0.25</v>
      </c>
      <c r="P545">
        <f>الجدول1[[#This Row],[Sales_Amount]]*(1-الجدول1[[#This Row],[Discount]])</f>
        <v>2360.3849999999998</v>
      </c>
    </row>
    <row r="546" spans="1:16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 s="7">
        <v>7.0000000000000007E-2</v>
      </c>
      <c r="L546" t="s">
        <v>27</v>
      </c>
      <c r="M546" t="s">
        <v>22</v>
      </c>
      <c r="N546" t="s">
        <v>41</v>
      </c>
      <c r="O546" s="7">
        <f>الجدول1[[#This Row],[Discount]]*1</f>
        <v>7.0000000000000007E-2</v>
      </c>
      <c r="P546">
        <f>الجدول1[[#This Row],[Sales_Amount]]*(1-الجدول1[[#This Row],[Discount]])</f>
        <v>8506.2543000000005</v>
      </c>
    </row>
    <row r="547" spans="1:16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 s="7">
        <v>0.26</v>
      </c>
      <c r="L547" t="s">
        <v>18</v>
      </c>
      <c r="M547" t="s">
        <v>22</v>
      </c>
      <c r="N547" t="s">
        <v>52</v>
      </c>
      <c r="O547" s="7">
        <f>الجدول1[[#This Row],[Discount]]*1</f>
        <v>0.26</v>
      </c>
      <c r="P547">
        <f>الجدول1[[#This Row],[Sales_Amount]]*(1-الجدول1[[#This Row],[Discount]])</f>
        <v>7054.3238000000001</v>
      </c>
    </row>
    <row r="548" spans="1:16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 s="7">
        <v>0.01</v>
      </c>
      <c r="L548" t="s">
        <v>18</v>
      </c>
      <c r="M548" t="s">
        <v>22</v>
      </c>
      <c r="N548" t="s">
        <v>32</v>
      </c>
      <c r="O548" s="7">
        <f>الجدول1[[#This Row],[Discount]]*1</f>
        <v>0.01</v>
      </c>
      <c r="P548">
        <f>الجدول1[[#This Row],[Sales_Amount]]*(1-الجدول1[[#This Row],[Discount]])</f>
        <v>3301.4025000000001</v>
      </c>
    </row>
    <row r="549" spans="1:16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 s="7">
        <v>0.27</v>
      </c>
      <c r="L549" t="s">
        <v>27</v>
      </c>
      <c r="M549" t="s">
        <v>19</v>
      </c>
      <c r="N549" t="s">
        <v>46</v>
      </c>
      <c r="O549" s="7">
        <f>الجدول1[[#This Row],[Discount]]*1</f>
        <v>0.27</v>
      </c>
      <c r="P549">
        <f>الجدول1[[#This Row],[Sales_Amount]]*(1-الجدول1[[#This Row],[Discount]])</f>
        <v>2634.4312999999997</v>
      </c>
    </row>
    <row r="550" spans="1:16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 s="7">
        <v>0.04</v>
      </c>
      <c r="L550" t="s">
        <v>18</v>
      </c>
      <c r="M550" t="s">
        <v>19</v>
      </c>
      <c r="N550" t="s">
        <v>32</v>
      </c>
      <c r="O550" s="7">
        <f>الجدول1[[#This Row],[Discount]]*1</f>
        <v>0.04</v>
      </c>
      <c r="P550">
        <f>الجدول1[[#This Row],[Sales_Amount]]*(1-الجدول1[[#This Row],[Discount]])</f>
        <v>4901.5487999999996</v>
      </c>
    </row>
    <row r="551" spans="1:16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 s="7">
        <v>0.19</v>
      </c>
      <c r="L551" t="s">
        <v>18</v>
      </c>
      <c r="M551" t="s">
        <v>19</v>
      </c>
      <c r="N551" t="s">
        <v>28</v>
      </c>
      <c r="O551" s="7">
        <f>الجدول1[[#This Row],[Discount]]*1</f>
        <v>0.19</v>
      </c>
      <c r="P551">
        <f>الجدول1[[#This Row],[Sales_Amount]]*(1-الجدول1[[#This Row],[Discount]])</f>
        <v>7627.8510000000006</v>
      </c>
    </row>
    <row r="552" spans="1:16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 s="7">
        <v>0.08</v>
      </c>
      <c r="L552" t="s">
        <v>27</v>
      </c>
      <c r="M552" t="s">
        <v>19</v>
      </c>
      <c r="N552" t="s">
        <v>48</v>
      </c>
      <c r="O552" s="7">
        <f>الجدول1[[#This Row],[Discount]]*1</f>
        <v>0.08</v>
      </c>
      <c r="P552">
        <f>الجدول1[[#This Row],[Sales_Amount]]*(1-الجدول1[[#This Row],[Discount]])</f>
        <v>8073.5151999999998</v>
      </c>
    </row>
    <row r="553" spans="1:16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 s="7">
        <v>0.25</v>
      </c>
      <c r="L553" t="s">
        <v>27</v>
      </c>
      <c r="M553" t="s">
        <v>19</v>
      </c>
      <c r="N553" t="s">
        <v>45</v>
      </c>
      <c r="O553" s="7">
        <f>الجدول1[[#This Row],[Discount]]*1</f>
        <v>0.25</v>
      </c>
      <c r="P553">
        <f>الجدول1[[#This Row],[Sales_Amount]]*(1-الجدول1[[#This Row],[Discount]])</f>
        <v>836.56500000000005</v>
      </c>
    </row>
    <row r="554" spans="1:16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 s="7">
        <v>0.15</v>
      </c>
      <c r="L554" t="s">
        <v>18</v>
      </c>
      <c r="M554" t="s">
        <v>22</v>
      </c>
      <c r="N554" t="s">
        <v>36</v>
      </c>
      <c r="O554" s="7">
        <f>الجدول1[[#This Row],[Discount]]*1</f>
        <v>0.15</v>
      </c>
      <c r="P554">
        <f>الجدول1[[#This Row],[Sales_Amount]]*(1-الجدول1[[#This Row],[Discount]])</f>
        <v>3389.8254999999999</v>
      </c>
    </row>
    <row r="555" spans="1:16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 s="7">
        <v>0.04</v>
      </c>
      <c r="L555" t="s">
        <v>27</v>
      </c>
      <c r="M555" t="s">
        <v>19</v>
      </c>
      <c r="N555" t="s">
        <v>20</v>
      </c>
      <c r="O555" s="7">
        <f>الجدول1[[#This Row],[Discount]]*1</f>
        <v>0.04</v>
      </c>
      <c r="P555">
        <f>الجدول1[[#This Row],[Sales_Amount]]*(1-الجدول1[[#This Row],[Discount]])</f>
        <v>5355.2352000000001</v>
      </c>
    </row>
    <row r="556" spans="1:16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 s="7">
        <v>0.17</v>
      </c>
      <c r="L556" t="s">
        <v>27</v>
      </c>
      <c r="M556" t="s">
        <v>22</v>
      </c>
      <c r="N556" t="s">
        <v>44</v>
      </c>
      <c r="O556" s="7">
        <f>الجدول1[[#This Row],[Discount]]*1</f>
        <v>0.17</v>
      </c>
      <c r="P556">
        <f>الجدول1[[#This Row],[Sales_Amount]]*(1-الجدول1[[#This Row],[Discount]])</f>
        <v>4217.2383</v>
      </c>
    </row>
    <row r="557" spans="1:16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 s="7">
        <v>0.12</v>
      </c>
      <c r="L557" t="s">
        <v>27</v>
      </c>
      <c r="M557" t="s">
        <v>22</v>
      </c>
      <c r="N557" t="s">
        <v>43</v>
      </c>
      <c r="O557" s="7">
        <f>الجدول1[[#This Row],[Discount]]*1</f>
        <v>0.12</v>
      </c>
      <c r="P557">
        <f>الجدول1[[#This Row],[Sales_Amount]]*(1-الجدول1[[#This Row],[Discount]])</f>
        <v>1776.9312</v>
      </c>
    </row>
    <row r="558" spans="1:16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 s="7">
        <v>0.2</v>
      </c>
      <c r="L558" t="s">
        <v>27</v>
      </c>
      <c r="M558" t="s">
        <v>19</v>
      </c>
      <c r="N558" t="s">
        <v>49</v>
      </c>
      <c r="O558" s="7">
        <f>الجدول1[[#This Row],[Discount]]*1</f>
        <v>0.2</v>
      </c>
      <c r="P558">
        <f>الجدول1[[#This Row],[Sales_Amount]]*(1-الجدول1[[#This Row],[Discount]])</f>
        <v>6881.8320000000012</v>
      </c>
    </row>
    <row r="559" spans="1:16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 s="7">
        <v>0.26</v>
      </c>
      <c r="L559" t="s">
        <v>18</v>
      </c>
      <c r="M559" t="s">
        <v>22</v>
      </c>
      <c r="N559" t="s">
        <v>28</v>
      </c>
      <c r="O559" s="7">
        <f>الجدول1[[#This Row],[Discount]]*1</f>
        <v>0.26</v>
      </c>
      <c r="P559">
        <f>الجدول1[[#This Row],[Sales_Amount]]*(1-الجدول1[[#This Row],[Discount]])</f>
        <v>5033.2654000000002</v>
      </c>
    </row>
    <row r="560" spans="1:16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 s="7">
        <v>0.12</v>
      </c>
      <c r="L560" t="s">
        <v>27</v>
      </c>
      <c r="M560" t="s">
        <v>19</v>
      </c>
      <c r="N560" t="s">
        <v>40</v>
      </c>
      <c r="O560" s="7">
        <f>الجدول1[[#This Row],[Discount]]*1</f>
        <v>0.12</v>
      </c>
      <c r="P560">
        <f>الجدول1[[#This Row],[Sales_Amount]]*(1-الجدول1[[#This Row],[Discount]])</f>
        <v>7387.8552000000009</v>
      </c>
    </row>
    <row r="561" spans="1:16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 s="7">
        <v>0.09</v>
      </c>
      <c r="L561" t="s">
        <v>31</v>
      </c>
      <c r="M561" t="s">
        <v>19</v>
      </c>
      <c r="N561" t="s">
        <v>53</v>
      </c>
      <c r="O561" s="7">
        <f>الجدول1[[#This Row],[Discount]]*1</f>
        <v>0.09</v>
      </c>
      <c r="P561">
        <f>الجدول1[[#This Row],[Sales_Amount]]*(1-الجدول1[[#This Row],[Discount]])</f>
        <v>7827.6107000000011</v>
      </c>
    </row>
    <row r="562" spans="1:16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 s="7">
        <v>0</v>
      </c>
      <c r="L562" t="s">
        <v>27</v>
      </c>
      <c r="M562" t="s">
        <v>22</v>
      </c>
      <c r="N562" t="s">
        <v>39</v>
      </c>
      <c r="O562" s="7">
        <f>الجدول1[[#This Row],[Discount]]*1</f>
        <v>0</v>
      </c>
      <c r="P562">
        <f>الجدول1[[#This Row],[Sales_Amount]]*(1-الجدول1[[#This Row],[Discount]])</f>
        <v>7508.72</v>
      </c>
    </row>
    <row r="563" spans="1:16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 s="7">
        <v>0.17</v>
      </c>
      <c r="L563" t="s">
        <v>31</v>
      </c>
      <c r="M563" t="s">
        <v>19</v>
      </c>
      <c r="N563" t="s">
        <v>47</v>
      </c>
      <c r="O563" s="7">
        <f>الجدول1[[#This Row],[Discount]]*1</f>
        <v>0.17</v>
      </c>
      <c r="P563">
        <f>الجدول1[[#This Row],[Sales_Amount]]*(1-الجدول1[[#This Row],[Discount]])</f>
        <v>3691.9893999999999</v>
      </c>
    </row>
    <row r="564" spans="1:16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 s="7">
        <v>0.12</v>
      </c>
      <c r="L564" t="s">
        <v>27</v>
      </c>
      <c r="M564" t="s">
        <v>19</v>
      </c>
      <c r="N564" t="s">
        <v>49</v>
      </c>
      <c r="O564" s="7">
        <f>الجدول1[[#This Row],[Discount]]*1</f>
        <v>0.12</v>
      </c>
      <c r="P564">
        <f>الجدول1[[#This Row],[Sales_Amount]]*(1-الجدول1[[#This Row],[Discount]])</f>
        <v>5407.0807999999997</v>
      </c>
    </row>
    <row r="565" spans="1:16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 s="7">
        <v>0.11</v>
      </c>
      <c r="L565" t="s">
        <v>31</v>
      </c>
      <c r="M565" t="s">
        <v>22</v>
      </c>
      <c r="N565" t="s">
        <v>48</v>
      </c>
      <c r="O565" s="7">
        <f>الجدول1[[#This Row],[Discount]]*1</f>
        <v>0.11</v>
      </c>
      <c r="P565">
        <f>الجدول1[[#This Row],[Sales_Amount]]*(1-الجدول1[[#This Row],[Discount]])</f>
        <v>1501.9818</v>
      </c>
    </row>
    <row r="566" spans="1:16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 s="7">
        <v>0.05</v>
      </c>
      <c r="L566" t="s">
        <v>31</v>
      </c>
      <c r="M566" t="s">
        <v>22</v>
      </c>
      <c r="N566" t="s">
        <v>48</v>
      </c>
      <c r="O566" s="7">
        <f>الجدول1[[#This Row],[Discount]]*1</f>
        <v>0.05</v>
      </c>
      <c r="P566">
        <f>الجدول1[[#This Row],[Sales_Amount]]*(1-الجدول1[[#This Row],[Discount]])</f>
        <v>6430.6354999999994</v>
      </c>
    </row>
    <row r="567" spans="1:16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 s="7">
        <v>0.13</v>
      </c>
      <c r="L567" t="s">
        <v>27</v>
      </c>
      <c r="M567" t="s">
        <v>22</v>
      </c>
      <c r="N567" t="s">
        <v>43</v>
      </c>
      <c r="O567" s="7">
        <f>الجدول1[[#This Row],[Discount]]*1</f>
        <v>0.13</v>
      </c>
      <c r="P567">
        <f>الجدول1[[#This Row],[Sales_Amount]]*(1-الجدول1[[#This Row],[Discount]])</f>
        <v>1630.9106999999999</v>
      </c>
    </row>
    <row r="568" spans="1:16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 s="7">
        <v>0.3</v>
      </c>
      <c r="L568" t="s">
        <v>27</v>
      </c>
      <c r="M568" t="s">
        <v>22</v>
      </c>
      <c r="N568" t="s">
        <v>37</v>
      </c>
      <c r="O568" s="7">
        <f>الجدول1[[#This Row],[Discount]]*1</f>
        <v>0.3</v>
      </c>
      <c r="P568">
        <f>الجدول1[[#This Row],[Sales_Amount]]*(1-الجدول1[[#This Row],[Discount]])</f>
        <v>4879.07</v>
      </c>
    </row>
    <row r="569" spans="1:16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 s="7">
        <v>0.09</v>
      </c>
      <c r="L569" t="s">
        <v>27</v>
      </c>
      <c r="M569" t="s">
        <v>22</v>
      </c>
      <c r="N569" t="s">
        <v>43</v>
      </c>
      <c r="O569" s="7">
        <f>الجدول1[[#This Row],[Discount]]*1</f>
        <v>0.09</v>
      </c>
      <c r="P569">
        <f>الجدول1[[#This Row],[Sales_Amount]]*(1-الجدول1[[#This Row],[Discount]])</f>
        <v>2159.4482000000003</v>
      </c>
    </row>
    <row r="570" spans="1:16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 s="7">
        <v>0.18</v>
      </c>
      <c r="L570" t="s">
        <v>31</v>
      </c>
      <c r="M570" t="s">
        <v>22</v>
      </c>
      <c r="N570" t="s">
        <v>41</v>
      </c>
      <c r="O570" s="7">
        <f>الجدول1[[#This Row],[Discount]]*1</f>
        <v>0.18</v>
      </c>
      <c r="P570">
        <f>الجدول1[[#This Row],[Sales_Amount]]*(1-الجدول1[[#This Row],[Discount]])</f>
        <v>1036.2832000000001</v>
      </c>
    </row>
    <row r="571" spans="1:16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 s="7">
        <v>0.23</v>
      </c>
      <c r="L571" t="s">
        <v>18</v>
      </c>
      <c r="M571" t="s">
        <v>19</v>
      </c>
      <c r="N571" t="s">
        <v>53</v>
      </c>
      <c r="O571" s="7">
        <f>الجدول1[[#This Row],[Discount]]*1</f>
        <v>0.23</v>
      </c>
      <c r="P571">
        <f>الجدول1[[#This Row],[Sales_Amount]]*(1-الجدول1[[#This Row],[Discount]])</f>
        <v>1336.9664</v>
      </c>
    </row>
    <row r="572" spans="1:16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 s="7">
        <v>0.22</v>
      </c>
      <c r="L572" t="s">
        <v>18</v>
      </c>
      <c r="M572" t="s">
        <v>19</v>
      </c>
      <c r="N572" t="s">
        <v>53</v>
      </c>
      <c r="O572" s="7">
        <f>الجدول1[[#This Row],[Discount]]*1</f>
        <v>0.22</v>
      </c>
      <c r="P572">
        <f>الجدول1[[#This Row],[Sales_Amount]]*(1-الجدول1[[#This Row],[Discount]])</f>
        <v>93.381600000000006</v>
      </c>
    </row>
    <row r="573" spans="1:16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 s="7">
        <v>0.1</v>
      </c>
      <c r="L573" t="s">
        <v>27</v>
      </c>
      <c r="M573" t="s">
        <v>19</v>
      </c>
      <c r="N573" t="s">
        <v>49</v>
      </c>
      <c r="O573" s="7">
        <f>الجدول1[[#This Row],[Discount]]*1</f>
        <v>0.1</v>
      </c>
      <c r="P573">
        <f>الجدول1[[#This Row],[Sales_Amount]]*(1-الجدول1[[#This Row],[Discount]])</f>
        <v>6493.9680000000008</v>
      </c>
    </row>
    <row r="574" spans="1:16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 s="7">
        <v>0.18</v>
      </c>
      <c r="L574" t="s">
        <v>18</v>
      </c>
      <c r="M574" t="s">
        <v>22</v>
      </c>
      <c r="N574" t="s">
        <v>40</v>
      </c>
      <c r="O574" s="7">
        <f>الجدول1[[#This Row],[Discount]]*1</f>
        <v>0.18</v>
      </c>
      <c r="P574">
        <f>الجدول1[[#This Row],[Sales_Amount]]*(1-الجدول1[[#This Row],[Discount]])</f>
        <v>6027.6314000000011</v>
      </c>
    </row>
    <row r="575" spans="1:16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 s="7">
        <v>0.26</v>
      </c>
      <c r="L575" t="s">
        <v>18</v>
      </c>
      <c r="M575" t="s">
        <v>19</v>
      </c>
      <c r="N575" t="s">
        <v>50</v>
      </c>
      <c r="O575" s="7">
        <f>الجدول1[[#This Row],[Discount]]*1</f>
        <v>0.26</v>
      </c>
      <c r="P575">
        <f>الجدول1[[#This Row],[Sales_Amount]]*(1-الجدول1[[#This Row],[Discount]])</f>
        <v>3846.4016000000001</v>
      </c>
    </row>
    <row r="576" spans="1:16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 s="7">
        <v>0</v>
      </c>
      <c r="L576" t="s">
        <v>27</v>
      </c>
      <c r="M576" t="s">
        <v>22</v>
      </c>
      <c r="N576" t="s">
        <v>48</v>
      </c>
      <c r="O576" s="7">
        <f>الجدول1[[#This Row],[Discount]]*1</f>
        <v>0</v>
      </c>
      <c r="P576">
        <f>الجدول1[[#This Row],[Sales_Amount]]*(1-الجدول1[[#This Row],[Discount]])</f>
        <v>1697.49</v>
      </c>
    </row>
    <row r="577" spans="1:16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 s="7">
        <v>0.13</v>
      </c>
      <c r="L577" t="s">
        <v>31</v>
      </c>
      <c r="M577" t="s">
        <v>19</v>
      </c>
      <c r="N577" t="s">
        <v>32</v>
      </c>
      <c r="O577" s="7">
        <f>الجدول1[[#This Row],[Discount]]*1</f>
        <v>0.13</v>
      </c>
      <c r="P577">
        <f>الجدول1[[#This Row],[Sales_Amount]]*(1-الجدول1[[#This Row],[Discount]])</f>
        <v>806.65530000000001</v>
      </c>
    </row>
    <row r="578" spans="1:16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 s="7">
        <v>7.0000000000000007E-2</v>
      </c>
      <c r="L578" t="s">
        <v>27</v>
      </c>
      <c r="M578" t="s">
        <v>22</v>
      </c>
      <c r="N578" t="s">
        <v>47</v>
      </c>
      <c r="O578" s="7">
        <f>الجدول1[[#This Row],[Discount]]*1</f>
        <v>7.0000000000000007E-2</v>
      </c>
      <c r="P578">
        <f>الجدول1[[#This Row],[Sales_Amount]]*(1-الجدول1[[#This Row],[Discount]])</f>
        <v>269.1234</v>
      </c>
    </row>
    <row r="579" spans="1:16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 s="7">
        <v>0.12</v>
      </c>
      <c r="L579" t="s">
        <v>18</v>
      </c>
      <c r="M579" t="s">
        <v>19</v>
      </c>
      <c r="N579" t="s">
        <v>53</v>
      </c>
      <c r="O579" s="7">
        <f>الجدول1[[#This Row],[Discount]]*1</f>
        <v>0.12</v>
      </c>
      <c r="P579">
        <f>الجدول1[[#This Row],[Sales_Amount]]*(1-الجدول1[[#This Row],[Discount]])</f>
        <v>1532.0008</v>
      </c>
    </row>
    <row r="580" spans="1:16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 s="7">
        <v>0.12</v>
      </c>
      <c r="L580" t="s">
        <v>31</v>
      </c>
      <c r="M580" t="s">
        <v>22</v>
      </c>
      <c r="N580" t="s">
        <v>45</v>
      </c>
      <c r="O580" s="7">
        <f>الجدول1[[#This Row],[Discount]]*1</f>
        <v>0.12</v>
      </c>
      <c r="P580">
        <f>الجدول1[[#This Row],[Sales_Amount]]*(1-الجدول1[[#This Row],[Discount]])</f>
        <v>7849.1335999999992</v>
      </c>
    </row>
    <row r="581" spans="1:16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 s="7">
        <v>0.22</v>
      </c>
      <c r="L581" t="s">
        <v>18</v>
      </c>
      <c r="M581" t="s">
        <v>22</v>
      </c>
      <c r="N581" t="s">
        <v>37</v>
      </c>
      <c r="O581" s="7">
        <f>الجدول1[[#This Row],[Discount]]*1</f>
        <v>0.22</v>
      </c>
      <c r="P581">
        <f>الجدول1[[#This Row],[Sales_Amount]]*(1-الجدول1[[#This Row],[Discount]])</f>
        <v>1943.1438000000001</v>
      </c>
    </row>
    <row r="582" spans="1:16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 s="7">
        <v>0.03</v>
      </c>
      <c r="L582" t="s">
        <v>31</v>
      </c>
      <c r="M582" t="s">
        <v>22</v>
      </c>
      <c r="N582" t="s">
        <v>37</v>
      </c>
      <c r="O582" s="7">
        <f>الجدول1[[#This Row],[Discount]]*1</f>
        <v>0.03</v>
      </c>
      <c r="P582">
        <f>الجدول1[[#This Row],[Sales_Amount]]*(1-الجدول1[[#This Row],[Discount]])</f>
        <v>3499.0713000000001</v>
      </c>
    </row>
    <row r="583" spans="1:16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 s="7">
        <v>0.15</v>
      </c>
      <c r="L583" t="s">
        <v>18</v>
      </c>
      <c r="M583" t="s">
        <v>22</v>
      </c>
      <c r="N583" t="s">
        <v>28</v>
      </c>
      <c r="O583" s="7">
        <f>الجدول1[[#This Row],[Discount]]*1</f>
        <v>0.15</v>
      </c>
      <c r="P583">
        <f>الجدول1[[#This Row],[Sales_Amount]]*(1-الجدول1[[#This Row],[Discount]])</f>
        <v>971.48200000000008</v>
      </c>
    </row>
    <row r="584" spans="1:16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 s="7">
        <v>0.17</v>
      </c>
      <c r="L584" t="s">
        <v>27</v>
      </c>
      <c r="M584" t="s">
        <v>19</v>
      </c>
      <c r="N584" t="s">
        <v>37</v>
      </c>
      <c r="O584" s="7">
        <f>الجدول1[[#This Row],[Discount]]*1</f>
        <v>0.17</v>
      </c>
      <c r="P584">
        <f>الجدول1[[#This Row],[Sales_Amount]]*(1-الجدول1[[#This Row],[Discount]])</f>
        <v>1910.1454000000001</v>
      </c>
    </row>
    <row r="585" spans="1:16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 s="7">
        <v>0.15</v>
      </c>
      <c r="L585" t="s">
        <v>18</v>
      </c>
      <c r="M585" t="s">
        <v>19</v>
      </c>
      <c r="N585" t="s">
        <v>53</v>
      </c>
      <c r="O585" s="7">
        <f>الجدول1[[#This Row],[Discount]]*1</f>
        <v>0.15</v>
      </c>
      <c r="P585">
        <f>الجدول1[[#This Row],[Sales_Amount]]*(1-الجدول1[[#This Row],[Discount]])</f>
        <v>4454.2719999999999</v>
      </c>
    </row>
    <row r="586" spans="1:16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 s="7">
        <v>0.22</v>
      </c>
      <c r="L586" t="s">
        <v>18</v>
      </c>
      <c r="M586" t="s">
        <v>22</v>
      </c>
      <c r="N586" t="s">
        <v>20</v>
      </c>
      <c r="O586" s="7">
        <f>الجدول1[[#This Row],[Discount]]*1</f>
        <v>0.22</v>
      </c>
      <c r="P586">
        <f>الجدول1[[#This Row],[Sales_Amount]]*(1-الجدول1[[#This Row],[Discount]])</f>
        <v>4771.0650000000005</v>
      </c>
    </row>
    <row r="587" spans="1:16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 s="7">
        <v>0.12</v>
      </c>
      <c r="L587" t="s">
        <v>31</v>
      </c>
      <c r="M587" t="s">
        <v>22</v>
      </c>
      <c r="N587" t="s">
        <v>40</v>
      </c>
      <c r="O587" s="7">
        <f>الجدول1[[#This Row],[Discount]]*1</f>
        <v>0.12</v>
      </c>
      <c r="P587">
        <f>الجدول1[[#This Row],[Sales_Amount]]*(1-الجدول1[[#This Row],[Discount]])</f>
        <v>2225.5111999999999</v>
      </c>
    </row>
    <row r="588" spans="1:16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 s="7">
        <v>0.28000000000000003</v>
      </c>
      <c r="L588" t="s">
        <v>18</v>
      </c>
      <c r="M588" t="s">
        <v>22</v>
      </c>
      <c r="N588" t="s">
        <v>40</v>
      </c>
      <c r="O588" s="7">
        <f>الجدول1[[#This Row],[Discount]]*1</f>
        <v>0.28000000000000003</v>
      </c>
      <c r="P588">
        <f>الجدول1[[#This Row],[Sales_Amount]]*(1-الجدول1[[#This Row],[Discount]])</f>
        <v>483.51599999999996</v>
      </c>
    </row>
    <row r="589" spans="1:16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 s="7">
        <v>0.14000000000000001</v>
      </c>
      <c r="L589" t="s">
        <v>27</v>
      </c>
      <c r="M589" t="s">
        <v>19</v>
      </c>
      <c r="N589" t="s">
        <v>20</v>
      </c>
      <c r="O589" s="7">
        <f>الجدول1[[#This Row],[Discount]]*1</f>
        <v>0.14000000000000001</v>
      </c>
      <c r="P589">
        <f>الجدول1[[#This Row],[Sales_Amount]]*(1-الجدول1[[#This Row],[Discount]])</f>
        <v>3415.2577999999999</v>
      </c>
    </row>
    <row r="590" spans="1:16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 s="7">
        <v>0.17</v>
      </c>
      <c r="L590" t="s">
        <v>27</v>
      </c>
      <c r="M590" t="s">
        <v>22</v>
      </c>
      <c r="N590" t="s">
        <v>28</v>
      </c>
      <c r="O590" s="7">
        <f>الجدول1[[#This Row],[Discount]]*1</f>
        <v>0.17</v>
      </c>
      <c r="P590">
        <f>الجدول1[[#This Row],[Sales_Amount]]*(1-الجدول1[[#This Row],[Discount]])</f>
        <v>2007.4463000000001</v>
      </c>
    </row>
    <row r="591" spans="1:16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 s="7">
        <v>0.25</v>
      </c>
      <c r="L591" t="s">
        <v>27</v>
      </c>
      <c r="M591" t="s">
        <v>22</v>
      </c>
      <c r="N591" t="s">
        <v>49</v>
      </c>
      <c r="O591" s="7">
        <f>الجدول1[[#This Row],[Discount]]*1</f>
        <v>0.25</v>
      </c>
      <c r="P591">
        <f>الجدول1[[#This Row],[Sales_Amount]]*(1-الجدول1[[#This Row],[Discount]])</f>
        <v>1705.1849999999999</v>
      </c>
    </row>
    <row r="592" spans="1:16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 s="7">
        <v>0.08</v>
      </c>
      <c r="L592" t="s">
        <v>31</v>
      </c>
      <c r="M592" t="s">
        <v>19</v>
      </c>
      <c r="N592" t="s">
        <v>43</v>
      </c>
      <c r="O592" s="7">
        <f>الجدول1[[#This Row],[Discount]]*1</f>
        <v>0.08</v>
      </c>
      <c r="P592">
        <f>الجدول1[[#This Row],[Sales_Amount]]*(1-الجدول1[[#This Row],[Discount]])</f>
        <v>8834.4287999999997</v>
      </c>
    </row>
    <row r="593" spans="1:16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 s="7">
        <v>0.02</v>
      </c>
      <c r="L593" t="s">
        <v>31</v>
      </c>
      <c r="M593" t="s">
        <v>22</v>
      </c>
      <c r="N593" t="s">
        <v>49</v>
      </c>
      <c r="O593" s="7">
        <f>الجدول1[[#This Row],[Discount]]*1</f>
        <v>0.02</v>
      </c>
      <c r="P593">
        <f>الجدول1[[#This Row],[Sales_Amount]]*(1-الجدول1[[#This Row],[Discount]])</f>
        <v>6077.3425999999999</v>
      </c>
    </row>
    <row r="594" spans="1:16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 s="7">
        <v>0.21</v>
      </c>
      <c r="L594" t="s">
        <v>18</v>
      </c>
      <c r="M594" t="s">
        <v>22</v>
      </c>
      <c r="N594" t="s">
        <v>46</v>
      </c>
      <c r="O594" s="7">
        <f>الجدول1[[#This Row],[Discount]]*1</f>
        <v>0.21</v>
      </c>
      <c r="P594">
        <f>الجدول1[[#This Row],[Sales_Amount]]*(1-الجدول1[[#This Row],[Discount]])</f>
        <v>4434.3490000000002</v>
      </c>
    </row>
    <row r="595" spans="1:16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 s="7">
        <v>0.14000000000000001</v>
      </c>
      <c r="L595" t="s">
        <v>18</v>
      </c>
      <c r="M595" t="s">
        <v>19</v>
      </c>
      <c r="N595" t="s">
        <v>46</v>
      </c>
      <c r="O595" s="7">
        <f>الجدول1[[#This Row],[Discount]]*1</f>
        <v>0.14000000000000001</v>
      </c>
      <c r="P595">
        <f>الجدول1[[#This Row],[Sales_Amount]]*(1-الجدول1[[#This Row],[Discount]])</f>
        <v>3625.9061999999999</v>
      </c>
    </row>
    <row r="596" spans="1:16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 s="7">
        <v>0.27</v>
      </c>
      <c r="L596" t="s">
        <v>18</v>
      </c>
      <c r="M596" t="s">
        <v>22</v>
      </c>
      <c r="N596" t="s">
        <v>36</v>
      </c>
      <c r="O596" s="7">
        <f>الجدول1[[#This Row],[Discount]]*1</f>
        <v>0.27</v>
      </c>
      <c r="P596">
        <f>الجدول1[[#This Row],[Sales_Amount]]*(1-الجدول1[[#This Row],[Discount]])</f>
        <v>3172.9814999999999</v>
      </c>
    </row>
    <row r="597" spans="1:16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 s="7">
        <v>0.28999999999999998</v>
      </c>
      <c r="L597" t="s">
        <v>31</v>
      </c>
      <c r="M597" t="s">
        <v>22</v>
      </c>
      <c r="N597" t="s">
        <v>52</v>
      </c>
      <c r="O597" s="7">
        <f>الجدول1[[#This Row],[Discount]]*1</f>
        <v>0.28999999999999998</v>
      </c>
      <c r="P597">
        <f>الجدول1[[#This Row],[Sales_Amount]]*(1-الجدول1[[#This Row],[Discount]])</f>
        <v>3873.0216</v>
      </c>
    </row>
    <row r="598" spans="1:16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 s="7">
        <v>0.12</v>
      </c>
      <c r="L598" t="s">
        <v>31</v>
      </c>
      <c r="M598" t="s">
        <v>19</v>
      </c>
      <c r="N598" t="s">
        <v>28</v>
      </c>
      <c r="O598" s="7">
        <f>الجدول1[[#This Row],[Discount]]*1</f>
        <v>0.12</v>
      </c>
      <c r="P598">
        <f>الجدول1[[#This Row],[Sales_Amount]]*(1-الجدول1[[#This Row],[Discount]])</f>
        <v>6155.3008</v>
      </c>
    </row>
    <row r="599" spans="1:16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 s="7">
        <v>0.12</v>
      </c>
      <c r="L599" t="s">
        <v>18</v>
      </c>
      <c r="M599" t="s">
        <v>22</v>
      </c>
      <c r="N599" t="s">
        <v>28</v>
      </c>
      <c r="O599" s="7">
        <f>الجدول1[[#This Row],[Discount]]*1</f>
        <v>0.12</v>
      </c>
      <c r="P599">
        <f>الجدول1[[#This Row],[Sales_Amount]]*(1-الجدول1[[#This Row],[Discount]])</f>
        <v>6205.1</v>
      </c>
    </row>
    <row r="600" spans="1:16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 s="7">
        <v>0.12</v>
      </c>
      <c r="L600" t="s">
        <v>31</v>
      </c>
      <c r="M600" t="s">
        <v>19</v>
      </c>
      <c r="N600" t="s">
        <v>51</v>
      </c>
      <c r="O600" s="7">
        <f>الجدول1[[#This Row],[Discount]]*1</f>
        <v>0.12</v>
      </c>
      <c r="P600">
        <f>الجدول1[[#This Row],[Sales_Amount]]*(1-الجدول1[[#This Row],[Discount]])</f>
        <v>1583.7976000000001</v>
      </c>
    </row>
    <row r="601" spans="1:16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 s="7">
        <v>0.1</v>
      </c>
      <c r="L601" t="s">
        <v>31</v>
      </c>
      <c r="M601" t="s">
        <v>22</v>
      </c>
      <c r="N601" t="s">
        <v>49</v>
      </c>
      <c r="O601" s="7">
        <f>الجدول1[[#This Row],[Discount]]*1</f>
        <v>0.1</v>
      </c>
      <c r="P601">
        <f>الجدول1[[#This Row],[Sales_Amount]]*(1-الجدول1[[#This Row],[Discount]])</f>
        <v>4546.0079999999998</v>
      </c>
    </row>
    <row r="602" spans="1:16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 s="7">
        <v>0.23</v>
      </c>
      <c r="L602" t="s">
        <v>27</v>
      </c>
      <c r="M602" t="s">
        <v>22</v>
      </c>
      <c r="N602" t="s">
        <v>52</v>
      </c>
      <c r="O602" s="7">
        <f>الجدول1[[#This Row],[Discount]]*1</f>
        <v>0.23</v>
      </c>
      <c r="P602">
        <f>الجدول1[[#This Row],[Sales_Amount]]*(1-الجدول1[[#This Row],[Discount]])</f>
        <v>3217.3603000000003</v>
      </c>
    </row>
    <row r="603" spans="1:16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 s="7">
        <v>0.23</v>
      </c>
      <c r="L603" t="s">
        <v>27</v>
      </c>
      <c r="M603" t="s">
        <v>22</v>
      </c>
      <c r="N603" t="s">
        <v>32</v>
      </c>
      <c r="O603" s="7">
        <f>الجدول1[[#This Row],[Discount]]*1</f>
        <v>0.23</v>
      </c>
      <c r="P603">
        <f>الجدول1[[#This Row],[Sales_Amount]]*(1-الجدول1[[#This Row],[Discount]])</f>
        <v>6713.0293999999994</v>
      </c>
    </row>
    <row r="604" spans="1:16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 s="7">
        <v>0.14000000000000001</v>
      </c>
      <c r="L604" t="s">
        <v>18</v>
      </c>
      <c r="M604" t="s">
        <v>22</v>
      </c>
      <c r="N604" t="s">
        <v>20</v>
      </c>
      <c r="O604" s="7">
        <f>الجدول1[[#This Row],[Discount]]*1</f>
        <v>0.14000000000000001</v>
      </c>
      <c r="P604">
        <f>الجدول1[[#This Row],[Sales_Amount]]*(1-الجدول1[[#This Row],[Discount]])</f>
        <v>5461.9030000000002</v>
      </c>
    </row>
    <row r="605" spans="1:16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 s="7">
        <v>0.01</v>
      </c>
      <c r="L605" t="s">
        <v>18</v>
      </c>
      <c r="M605" t="s">
        <v>22</v>
      </c>
      <c r="N605" t="s">
        <v>20</v>
      </c>
      <c r="O605" s="7">
        <f>الجدول1[[#This Row],[Discount]]*1</f>
        <v>0.01</v>
      </c>
      <c r="P605">
        <f>الجدول1[[#This Row],[Sales_Amount]]*(1-الجدول1[[#This Row],[Discount]])</f>
        <v>5318.0721000000003</v>
      </c>
    </row>
    <row r="606" spans="1:16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 s="7">
        <v>0.09</v>
      </c>
      <c r="L606" t="s">
        <v>27</v>
      </c>
      <c r="M606" t="s">
        <v>19</v>
      </c>
      <c r="N606" t="s">
        <v>39</v>
      </c>
      <c r="O606" s="7">
        <f>الجدول1[[#This Row],[Discount]]*1</f>
        <v>0.09</v>
      </c>
      <c r="P606">
        <f>الجدول1[[#This Row],[Sales_Amount]]*(1-الجدول1[[#This Row],[Discount]])</f>
        <v>1130.5931</v>
      </c>
    </row>
    <row r="607" spans="1:16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 s="7">
        <v>0.09</v>
      </c>
      <c r="L607" t="s">
        <v>31</v>
      </c>
      <c r="M607" t="s">
        <v>22</v>
      </c>
      <c r="N607" t="s">
        <v>50</v>
      </c>
      <c r="O607" s="7">
        <f>الجدول1[[#This Row],[Discount]]*1</f>
        <v>0.09</v>
      </c>
      <c r="P607">
        <f>الجدول1[[#This Row],[Sales_Amount]]*(1-الجدول1[[#This Row],[Discount]])</f>
        <v>5547.1962000000003</v>
      </c>
    </row>
    <row r="608" spans="1:16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 s="7">
        <v>0.24</v>
      </c>
      <c r="L608" t="s">
        <v>18</v>
      </c>
      <c r="M608" t="s">
        <v>22</v>
      </c>
      <c r="N608" t="s">
        <v>47</v>
      </c>
      <c r="O608" s="7">
        <f>الجدول1[[#This Row],[Discount]]*1</f>
        <v>0.24</v>
      </c>
      <c r="P608">
        <f>الجدول1[[#This Row],[Sales_Amount]]*(1-الجدول1[[#This Row],[Discount]])</f>
        <v>957.84319999999991</v>
      </c>
    </row>
    <row r="609" spans="1:16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 s="7">
        <v>0.03</v>
      </c>
      <c r="L609" t="s">
        <v>18</v>
      </c>
      <c r="M609" t="s">
        <v>19</v>
      </c>
      <c r="N609" t="s">
        <v>53</v>
      </c>
      <c r="O609" s="7">
        <f>الجدول1[[#This Row],[Discount]]*1</f>
        <v>0.03</v>
      </c>
      <c r="P609">
        <f>الجدول1[[#This Row],[Sales_Amount]]*(1-الجدول1[[#This Row],[Discount]])</f>
        <v>3335.1994999999997</v>
      </c>
    </row>
    <row r="610" spans="1:16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 s="7">
        <v>0.24</v>
      </c>
      <c r="L610" t="s">
        <v>18</v>
      </c>
      <c r="M610" t="s">
        <v>19</v>
      </c>
      <c r="N610" t="s">
        <v>23</v>
      </c>
      <c r="O610" s="7">
        <f>الجدول1[[#This Row],[Discount]]*1</f>
        <v>0.24</v>
      </c>
      <c r="P610">
        <f>الجدول1[[#This Row],[Sales_Amount]]*(1-الجدول1[[#This Row],[Discount]])</f>
        <v>1150.7464</v>
      </c>
    </row>
    <row r="611" spans="1:16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 s="7">
        <v>0.2</v>
      </c>
      <c r="L611" t="s">
        <v>31</v>
      </c>
      <c r="M611" t="s">
        <v>22</v>
      </c>
      <c r="N611" t="s">
        <v>48</v>
      </c>
      <c r="O611" s="7">
        <f>الجدول1[[#This Row],[Discount]]*1</f>
        <v>0.2</v>
      </c>
      <c r="P611">
        <f>الجدول1[[#This Row],[Sales_Amount]]*(1-الجدول1[[#This Row],[Discount]])</f>
        <v>5561.2240000000002</v>
      </c>
    </row>
    <row r="612" spans="1:16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 s="7">
        <v>0.22</v>
      </c>
      <c r="L612" t="s">
        <v>27</v>
      </c>
      <c r="M612" t="s">
        <v>19</v>
      </c>
      <c r="N612" t="s">
        <v>48</v>
      </c>
      <c r="O612" s="7">
        <f>الجدول1[[#This Row],[Discount]]*1</f>
        <v>0.22</v>
      </c>
      <c r="P612">
        <f>الجدول1[[#This Row],[Sales_Amount]]*(1-الجدول1[[#This Row],[Discount]])</f>
        <v>1670.682</v>
      </c>
    </row>
    <row r="613" spans="1:16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 s="7">
        <v>0.13</v>
      </c>
      <c r="L613" t="s">
        <v>18</v>
      </c>
      <c r="M613" t="s">
        <v>22</v>
      </c>
      <c r="N613" t="s">
        <v>47</v>
      </c>
      <c r="O613" s="7">
        <f>الجدول1[[#This Row],[Discount]]*1</f>
        <v>0.13</v>
      </c>
      <c r="P613">
        <f>الجدول1[[#This Row],[Sales_Amount]]*(1-الجدول1[[#This Row],[Discount]])</f>
        <v>3462.0866999999998</v>
      </c>
    </row>
    <row r="614" spans="1:16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 s="7">
        <v>0.2</v>
      </c>
      <c r="L614" t="s">
        <v>27</v>
      </c>
      <c r="M614" t="s">
        <v>19</v>
      </c>
      <c r="N614" t="s">
        <v>46</v>
      </c>
      <c r="O614" s="7">
        <f>الجدول1[[#This Row],[Discount]]*1</f>
        <v>0.2</v>
      </c>
      <c r="P614">
        <f>الجدول1[[#This Row],[Sales_Amount]]*(1-الجدول1[[#This Row],[Discount]])</f>
        <v>7173.7440000000006</v>
      </c>
    </row>
    <row r="615" spans="1:16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 s="7">
        <v>0.18</v>
      </c>
      <c r="L615" t="s">
        <v>27</v>
      </c>
      <c r="M615" t="s">
        <v>19</v>
      </c>
      <c r="N615" t="s">
        <v>53</v>
      </c>
      <c r="O615" s="7">
        <f>الجدول1[[#This Row],[Discount]]*1</f>
        <v>0.18</v>
      </c>
      <c r="P615">
        <f>الجدول1[[#This Row],[Sales_Amount]]*(1-الجدول1[[#This Row],[Discount]])</f>
        <v>1740.6386000000002</v>
      </c>
    </row>
    <row r="616" spans="1:16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 s="7">
        <v>0.23</v>
      </c>
      <c r="L616" t="s">
        <v>31</v>
      </c>
      <c r="M616" t="s">
        <v>22</v>
      </c>
      <c r="N616" t="s">
        <v>23</v>
      </c>
      <c r="O616" s="7">
        <f>الجدول1[[#This Row],[Discount]]*1</f>
        <v>0.23</v>
      </c>
      <c r="P616">
        <f>الجدول1[[#This Row],[Sales_Amount]]*(1-الجدول1[[#This Row],[Discount]])</f>
        <v>3947.9979000000003</v>
      </c>
    </row>
    <row r="617" spans="1:16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 s="7">
        <v>0.13</v>
      </c>
      <c r="L617" t="s">
        <v>31</v>
      </c>
      <c r="M617" t="s">
        <v>19</v>
      </c>
      <c r="N617" t="s">
        <v>52</v>
      </c>
      <c r="O617" s="7">
        <f>الجدول1[[#This Row],[Discount]]*1</f>
        <v>0.13</v>
      </c>
      <c r="P617">
        <f>الجدول1[[#This Row],[Sales_Amount]]*(1-الجدول1[[#This Row],[Discount]])</f>
        <v>3698.1873000000001</v>
      </c>
    </row>
    <row r="618" spans="1:16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 s="7">
        <v>0.14000000000000001</v>
      </c>
      <c r="L618" t="s">
        <v>31</v>
      </c>
      <c r="M618" t="s">
        <v>22</v>
      </c>
      <c r="N618" t="s">
        <v>23</v>
      </c>
      <c r="O618" s="7">
        <f>الجدول1[[#This Row],[Discount]]*1</f>
        <v>0.14000000000000001</v>
      </c>
      <c r="P618">
        <f>الجدول1[[#This Row],[Sales_Amount]]*(1-الجدول1[[#This Row],[Discount]])</f>
        <v>240.3098</v>
      </c>
    </row>
    <row r="619" spans="1:16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 s="7">
        <v>0.19</v>
      </c>
      <c r="L619" t="s">
        <v>31</v>
      </c>
      <c r="M619" t="s">
        <v>19</v>
      </c>
      <c r="N619" t="s">
        <v>49</v>
      </c>
      <c r="O619" s="7">
        <f>الجدول1[[#This Row],[Discount]]*1</f>
        <v>0.19</v>
      </c>
      <c r="P619">
        <f>الجدول1[[#This Row],[Sales_Amount]]*(1-الجدول1[[#This Row],[Discount]])</f>
        <v>6438.1311000000005</v>
      </c>
    </row>
    <row r="620" spans="1:16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 s="7">
        <v>0.03</v>
      </c>
      <c r="L620" t="s">
        <v>31</v>
      </c>
      <c r="M620" t="s">
        <v>19</v>
      </c>
      <c r="N620" t="s">
        <v>52</v>
      </c>
      <c r="O620" s="7">
        <f>الجدول1[[#This Row],[Discount]]*1</f>
        <v>0.03</v>
      </c>
      <c r="P620">
        <f>الجدول1[[#This Row],[Sales_Amount]]*(1-الجدول1[[#This Row],[Discount]])</f>
        <v>760.04349999999988</v>
      </c>
    </row>
    <row r="621" spans="1:16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 s="7">
        <v>0.13</v>
      </c>
      <c r="L621" t="s">
        <v>31</v>
      </c>
      <c r="M621" t="s">
        <v>19</v>
      </c>
      <c r="N621" t="s">
        <v>53</v>
      </c>
      <c r="O621" s="7">
        <f>الجدول1[[#This Row],[Discount]]*1</f>
        <v>0.13</v>
      </c>
      <c r="P621">
        <f>الجدول1[[#This Row],[Sales_Amount]]*(1-الجدول1[[#This Row],[Discount]])</f>
        <v>4171.7543999999998</v>
      </c>
    </row>
    <row r="622" spans="1:16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 s="7">
        <v>0.28999999999999998</v>
      </c>
      <c r="L622" t="s">
        <v>18</v>
      </c>
      <c r="M622" t="s">
        <v>22</v>
      </c>
      <c r="N622" t="s">
        <v>50</v>
      </c>
      <c r="O622" s="7">
        <f>الجدول1[[#This Row],[Discount]]*1</f>
        <v>0.28999999999999998</v>
      </c>
      <c r="P622">
        <f>الجدول1[[#This Row],[Sales_Amount]]*(1-الجدول1[[#This Row],[Discount]])</f>
        <v>4012.0111999999999</v>
      </c>
    </row>
    <row r="623" spans="1:16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 s="7">
        <v>0.01</v>
      </c>
      <c r="L623" t="s">
        <v>27</v>
      </c>
      <c r="M623" t="s">
        <v>22</v>
      </c>
      <c r="N623" t="s">
        <v>32</v>
      </c>
      <c r="O623" s="7">
        <f>الجدول1[[#This Row],[Discount]]*1</f>
        <v>0.01</v>
      </c>
      <c r="P623">
        <f>الجدول1[[#This Row],[Sales_Amount]]*(1-الجدول1[[#This Row],[Discount]])</f>
        <v>6258.2057999999997</v>
      </c>
    </row>
    <row r="624" spans="1:16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 s="7">
        <v>0.09</v>
      </c>
      <c r="L624" t="s">
        <v>31</v>
      </c>
      <c r="M624" t="s">
        <v>19</v>
      </c>
      <c r="N624" t="s">
        <v>52</v>
      </c>
      <c r="O624" s="7">
        <f>الجدول1[[#This Row],[Discount]]*1</f>
        <v>0.09</v>
      </c>
      <c r="P624">
        <f>الجدول1[[#This Row],[Sales_Amount]]*(1-الجدول1[[#This Row],[Discount]])</f>
        <v>6294.8795</v>
      </c>
    </row>
    <row r="625" spans="1:16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 s="7">
        <v>0.09</v>
      </c>
      <c r="L625" t="s">
        <v>18</v>
      </c>
      <c r="M625" t="s">
        <v>22</v>
      </c>
      <c r="N625" t="s">
        <v>23</v>
      </c>
      <c r="O625" s="7">
        <f>الجدول1[[#This Row],[Discount]]*1</f>
        <v>0.09</v>
      </c>
      <c r="P625">
        <f>الجدول1[[#This Row],[Sales_Amount]]*(1-الجدول1[[#This Row],[Discount]])</f>
        <v>2372.7340000000004</v>
      </c>
    </row>
    <row r="626" spans="1:16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 s="7">
        <v>0.19</v>
      </c>
      <c r="L626" t="s">
        <v>27</v>
      </c>
      <c r="M626" t="s">
        <v>22</v>
      </c>
      <c r="N626" t="s">
        <v>50</v>
      </c>
      <c r="O626" s="7">
        <f>الجدول1[[#This Row],[Discount]]*1</f>
        <v>0.19</v>
      </c>
      <c r="P626">
        <f>الجدول1[[#This Row],[Sales_Amount]]*(1-الجدول1[[#This Row],[Discount]])</f>
        <v>161.01990000000001</v>
      </c>
    </row>
    <row r="627" spans="1:16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 s="7">
        <v>0.03</v>
      </c>
      <c r="L627" t="s">
        <v>31</v>
      </c>
      <c r="M627" t="s">
        <v>22</v>
      </c>
      <c r="N627" t="s">
        <v>45</v>
      </c>
      <c r="O627" s="7">
        <f>الجدول1[[#This Row],[Discount]]*1</f>
        <v>0.03</v>
      </c>
      <c r="P627">
        <f>الجدول1[[#This Row],[Sales_Amount]]*(1-الجدول1[[#This Row],[Discount]])</f>
        <v>7044.2272999999996</v>
      </c>
    </row>
    <row r="628" spans="1:16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 s="7">
        <v>0.19</v>
      </c>
      <c r="L628" t="s">
        <v>31</v>
      </c>
      <c r="M628" t="s">
        <v>19</v>
      </c>
      <c r="N628" t="s">
        <v>40</v>
      </c>
      <c r="O628" s="7">
        <f>الجدول1[[#This Row],[Discount]]*1</f>
        <v>0.19</v>
      </c>
      <c r="P628">
        <f>الجدول1[[#This Row],[Sales_Amount]]*(1-الجدول1[[#This Row],[Discount]])</f>
        <v>4376.43</v>
      </c>
    </row>
    <row r="629" spans="1:16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 s="7">
        <v>0.03</v>
      </c>
      <c r="L629" t="s">
        <v>18</v>
      </c>
      <c r="M629" t="s">
        <v>22</v>
      </c>
      <c r="N629" t="s">
        <v>50</v>
      </c>
      <c r="O629" s="7">
        <f>الجدول1[[#This Row],[Discount]]*1</f>
        <v>0.03</v>
      </c>
      <c r="P629">
        <f>الجدول1[[#This Row],[Sales_Amount]]*(1-الجدول1[[#This Row],[Discount]])</f>
        <v>8126.2428999999993</v>
      </c>
    </row>
    <row r="630" spans="1:16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 s="7">
        <v>0.03</v>
      </c>
      <c r="L630" t="s">
        <v>27</v>
      </c>
      <c r="M630" t="s">
        <v>19</v>
      </c>
      <c r="N630" t="s">
        <v>37</v>
      </c>
      <c r="O630" s="7">
        <f>الجدول1[[#This Row],[Discount]]*1</f>
        <v>0.03</v>
      </c>
      <c r="P630">
        <f>الجدول1[[#This Row],[Sales_Amount]]*(1-الجدول1[[#This Row],[Discount]])</f>
        <v>7984.7877999999992</v>
      </c>
    </row>
    <row r="631" spans="1:16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 s="7">
        <v>0.22</v>
      </c>
      <c r="L631" t="s">
        <v>31</v>
      </c>
      <c r="M631" t="s">
        <v>19</v>
      </c>
      <c r="N631" t="s">
        <v>43</v>
      </c>
      <c r="O631" s="7">
        <f>الجدول1[[#This Row],[Discount]]*1</f>
        <v>0.22</v>
      </c>
      <c r="P631">
        <f>الجدول1[[#This Row],[Sales_Amount]]*(1-الجدول1[[#This Row],[Discount]])</f>
        <v>6590.1654000000008</v>
      </c>
    </row>
    <row r="632" spans="1:16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 s="7">
        <v>0.1</v>
      </c>
      <c r="L632" t="s">
        <v>27</v>
      </c>
      <c r="M632" t="s">
        <v>19</v>
      </c>
      <c r="N632" t="s">
        <v>41</v>
      </c>
      <c r="O632" s="7">
        <f>الجدول1[[#This Row],[Discount]]*1</f>
        <v>0.1</v>
      </c>
      <c r="P632">
        <f>الجدول1[[#This Row],[Sales_Amount]]*(1-الجدول1[[#This Row],[Discount]])</f>
        <v>4412.1959999999999</v>
      </c>
    </row>
    <row r="633" spans="1:16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 s="7">
        <v>0.28999999999999998</v>
      </c>
      <c r="L633" t="s">
        <v>18</v>
      </c>
      <c r="M633" t="s">
        <v>19</v>
      </c>
      <c r="N633" t="s">
        <v>44</v>
      </c>
      <c r="O633" s="7">
        <f>الجدول1[[#This Row],[Discount]]*1</f>
        <v>0.28999999999999998</v>
      </c>
      <c r="P633">
        <f>الجدول1[[#This Row],[Sales_Amount]]*(1-الجدول1[[#This Row],[Discount]])</f>
        <v>2416.0731999999998</v>
      </c>
    </row>
    <row r="634" spans="1:16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 s="7">
        <v>0.01</v>
      </c>
      <c r="L634" t="s">
        <v>31</v>
      </c>
      <c r="M634" t="s">
        <v>19</v>
      </c>
      <c r="N634" t="s">
        <v>20</v>
      </c>
      <c r="O634" s="7">
        <f>الجدول1[[#This Row],[Discount]]*1</f>
        <v>0.01</v>
      </c>
      <c r="P634">
        <f>الجدول1[[#This Row],[Sales_Amount]]*(1-الجدول1[[#This Row],[Discount]])</f>
        <v>7857.0657000000001</v>
      </c>
    </row>
    <row r="635" spans="1:16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 s="7">
        <v>0.13</v>
      </c>
      <c r="L635" t="s">
        <v>27</v>
      </c>
      <c r="M635" t="s">
        <v>22</v>
      </c>
      <c r="N635" t="s">
        <v>51</v>
      </c>
      <c r="O635" s="7">
        <f>الجدول1[[#This Row],[Discount]]*1</f>
        <v>0.13</v>
      </c>
      <c r="P635">
        <f>الجدول1[[#This Row],[Sales_Amount]]*(1-الجدول1[[#This Row],[Discount]])</f>
        <v>3973.9947000000002</v>
      </c>
    </row>
    <row r="636" spans="1:16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 s="7">
        <v>0.03</v>
      </c>
      <c r="L636" t="s">
        <v>18</v>
      </c>
      <c r="M636" t="s">
        <v>22</v>
      </c>
      <c r="N636" t="s">
        <v>28</v>
      </c>
      <c r="O636" s="7">
        <f>الجدول1[[#This Row],[Discount]]*1</f>
        <v>0.03</v>
      </c>
      <c r="P636">
        <f>الجدول1[[#This Row],[Sales_Amount]]*(1-الجدول1[[#This Row],[Discount]])</f>
        <v>1858.5975999999998</v>
      </c>
    </row>
    <row r="637" spans="1:16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 s="7">
        <v>0.11</v>
      </c>
      <c r="L637" t="s">
        <v>18</v>
      </c>
      <c r="M637" t="s">
        <v>19</v>
      </c>
      <c r="N637" t="s">
        <v>52</v>
      </c>
      <c r="O637" s="7">
        <f>الجدول1[[#This Row],[Discount]]*1</f>
        <v>0.11</v>
      </c>
      <c r="P637">
        <f>الجدول1[[#This Row],[Sales_Amount]]*(1-الجدول1[[#This Row],[Discount]])</f>
        <v>7622.1736000000001</v>
      </c>
    </row>
    <row r="638" spans="1:16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 s="7">
        <v>0.3</v>
      </c>
      <c r="L638" t="s">
        <v>31</v>
      </c>
      <c r="M638" t="s">
        <v>22</v>
      </c>
      <c r="N638" t="s">
        <v>20</v>
      </c>
      <c r="O638" s="7">
        <f>الجدول1[[#This Row],[Discount]]*1</f>
        <v>0.3</v>
      </c>
      <c r="P638">
        <f>الجدول1[[#This Row],[Sales_Amount]]*(1-الجدول1[[#This Row],[Discount]])</f>
        <v>6186.1379999999999</v>
      </c>
    </row>
    <row r="639" spans="1:16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 s="7">
        <v>0.27</v>
      </c>
      <c r="L639" t="s">
        <v>27</v>
      </c>
      <c r="M639" t="s">
        <v>22</v>
      </c>
      <c r="N639" t="s">
        <v>48</v>
      </c>
      <c r="O639" s="7">
        <f>الجدول1[[#This Row],[Discount]]*1</f>
        <v>0.27</v>
      </c>
      <c r="P639">
        <f>الجدول1[[#This Row],[Sales_Amount]]*(1-الجدول1[[#This Row],[Discount]])</f>
        <v>3443.0230999999999</v>
      </c>
    </row>
    <row r="640" spans="1:16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 s="7">
        <v>0.01</v>
      </c>
      <c r="L640" t="s">
        <v>31</v>
      </c>
      <c r="M640" t="s">
        <v>22</v>
      </c>
      <c r="N640" t="s">
        <v>40</v>
      </c>
      <c r="O640" s="7">
        <f>الجدول1[[#This Row],[Discount]]*1</f>
        <v>0.01</v>
      </c>
      <c r="P640">
        <f>الجدول1[[#This Row],[Sales_Amount]]*(1-الجدول1[[#This Row],[Discount]])</f>
        <v>840.9357</v>
      </c>
    </row>
    <row r="641" spans="1:16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 s="7">
        <v>0.17</v>
      </c>
      <c r="L641" t="s">
        <v>31</v>
      </c>
      <c r="M641" t="s">
        <v>22</v>
      </c>
      <c r="N641" t="s">
        <v>41</v>
      </c>
      <c r="O641" s="7">
        <f>الجدول1[[#This Row],[Discount]]*1</f>
        <v>0.17</v>
      </c>
      <c r="P641">
        <f>الجدول1[[#This Row],[Sales_Amount]]*(1-الجدول1[[#This Row],[Discount]])</f>
        <v>3269.7683999999999</v>
      </c>
    </row>
    <row r="642" spans="1:16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 s="7">
        <v>0.19</v>
      </c>
      <c r="L642" t="s">
        <v>27</v>
      </c>
      <c r="M642" t="s">
        <v>22</v>
      </c>
      <c r="N642" t="s">
        <v>47</v>
      </c>
      <c r="O642" s="7">
        <f>الجدول1[[#This Row],[Discount]]*1</f>
        <v>0.19</v>
      </c>
      <c r="P642">
        <f>الجدول1[[#This Row],[Sales_Amount]]*(1-الجدول1[[#This Row],[Discount]])</f>
        <v>6524.5662000000011</v>
      </c>
    </row>
    <row r="643" spans="1:16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 s="7">
        <v>0.06</v>
      </c>
      <c r="L643" t="s">
        <v>27</v>
      </c>
      <c r="M643" t="s">
        <v>22</v>
      </c>
      <c r="N643" t="s">
        <v>53</v>
      </c>
      <c r="O643" s="7">
        <f>الجدول1[[#This Row],[Discount]]*1</f>
        <v>0.06</v>
      </c>
      <c r="P643">
        <f>الجدول1[[#This Row],[Sales_Amount]]*(1-الجدول1[[#This Row],[Discount]])</f>
        <v>8485.9063999999998</v>
      </c>
    </row>
    <row r="644" spans="1:16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 s="7">
        <v>0.04</v>
      </c>
      <c r="L644" t="s">
        <v>27</v>
      </c>
      <c r="M644" t="s">
        <v>22</v>
      </c>
      <c r="N644" t="s">
        <v>53</v>
      </c>
      <c r="O644" s="7">
        <f>الجدول1[[#This Row],[Discount]]*1</f>
        <v>0.04</v>
      </c>
      <c r="P644">
        <f>الجدول1[[#This Row],[Sales_Amount]]*(1-الجدول1[[#This Row],[Discount]])</f>
        <v>2029.8048000000001</v>
      </c>
    </row>
    <row r="645" spans="1:16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 s="7">
        <v>0.27</v>
      </c>
      <c r="L645" t="s">
        <v>18</v>
      </c>
      <c r="M645" t="s">
        <v>19</v>
      </c>
      <c r="N645" t="s">
        <v>49</v>
      </c>
      <c r="O645" s="7">
        <f>الجدول1[[#This Row],[Discount]]*1</f>
        <v>0.27</v>
      </c>
      <c r="P645">
        <f>الجدول1[[#This Row],[Sales_Amount]]*(1-الجدول1[[#This Row],[Discount]])</f>
        <v>557.01919999999996</v>
      </c>
    </row>
    <row r="646" spans="1:16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 s="7">
        <v>0.28999999999999998</v>
      </c>
      <c r="L646" t="s">
        <v>18</v>
      </c>
      <c r="M646" t="s">
        <v>19</v>
      </c>
      <c r="N646" t="s">
        <v>47</v>
      </c>
      <c r="O646" s="7">
        <f>الجدول1[[#This Row],[Discount]]*1</f>
        <v>0.28999999999999998</v>
      </c>
      <c r="P646">
        <f>الجدول1[[#This Row],[Sales_Amount]]*(1-الجدول1[[#This Row],[Discount]])</f>
        <v>6237.8967000000002</v>
      </c>
    </row>
    <row r="647" spans="1:16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 s="7">
        <v>0.3</v>
      </c>
      <c r="L647" t="s">
        <v>27</v>
      </c>
      <c r="M647" t="s">
        <v>19</v>
      </c>
      <c r="N647" t="s">
        <v>39</v>
      </c>
      <c r="O647" s="7">
        <f>الجدول1[[#This Row],[Discount]]*1</f>
        <v>0.3</v>
      </c>
      <c r="P647">
        <f>الجدول1[[#This Row],[Sales_Amount]]*(1-الجدول1[[#This Row],[Discount]])</f>
        <v>2768.5769999999998</v>
      </c>
    </row>
    <row r="648" spans="1:16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 s="7">
        <v>0.24</v>
      </c>
      <c r="L648" t="s">
        <v>18</v>
      </c>
      <c r="M648" t="s">
        <v>22</v>
      </c>
      <c r="N648" t="s">
        <v>48</v>
      </c>
      <c r="O648" s="7">
        <f>الجدول1[[#This Row],[Discount]]*1</f>
        <v>0.24</v>
      </c>
      <c r="P648">
        <f>الجدول1[[#This Row],[Sales_Amount]]*(1-الجدول1[[#This Row],[Discount]])</f>
        <v>4152.2067999999999</v>
      </c>
    </row>
    <row r="649" spans="1:16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 s="7">
        <v>0.2</v>
      </c>
      <c r="L649" t="s">
        <v>31</v>
      </c>
      <c r="M649" t="s">
        <v>22</v>
      </c>
      <c r="N649" t="s">
        <v>46</v>
      </c>
      <c r="O649" s="7">
        <f>الجدول1[[#This Row],[Discount]]*1</f>
        <v>0.2</v>
      </c>
      <c r="P649">
        <f>الجدول1[[#This Row],[Sales_Amount]]*(1-الجدول1[[#This Row],[Discount]])</f>
        <v>7747.0800000000008</v>
      </c>
    </row>
    <row r="650" spans="1:16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 s="7">
        <v>0.1</v>
      </c>
      <c r="L650" t="s">
        <v>27</v>
      </c>
      <c r="M650" t="s">
        <v>19</v>
      </c>
      <c r="N650" t="s">
        <v>23</v>
      </c>
      <c r="O650" s="7">
        <f>الجدول1[[#This Row],[Discount]]*1</f>
        <v>0.1</v>
      </c>
      <c r="P650">
        <f>الجدول1[[#This Row],[Sales_Amount]]*(1-الجدول1[[#This Row],[Discount]])</f>
        <v>683.09100000000001</v>
      </c>
    </row>
    <row r="651" spans="1:16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 s="7">
        <v>0.05</v>
      </c>
      <c r="L651" t="s">
        <v>31</v>
      </c>
      <c r="M651" t="s">
        <v>22</v>
      </c>
      <c r="N651" t="s">
        <v>48</v>
      </c>
      <c r="O651" s="7">
        <f>الجدول1[[#This Row],[Discount]]*1</f>
        <v>0.05</v>
      </c>
      <c r="P651">
        <f>الجدول1[[#This Row],[Sales_Amount]]*(1-الجدول1[[#This Row],[Discount]])</f>
        <v>6192.4324999999999</v>
      </c>
    </row>
    <row r="652" spans="1:16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 s="7">
        <v>0.02</v>
      </c>
      <c r="L652" t="s">
        <v>27</v>
      </c>
      <c r="M652" t="s">
        <v>22</v>
      </c>
      <c r="N652" t="s">
        <v>40</v>
      </c>
      <c r="O652" s="7">
        <f>الجدول1[[#This Row],[Discount]]*1</f>
        <v>0.02</v>
      </c>
      <c r="P652">
        <f>الجدول1[[#This Row],[Sales_Amount]]*(1-الجدول1[[#This Row],[Discount]])</f>
        <v>816.96719999999993</v>
      </c>
    </row>
    <row r="653" spans="1:16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 s="7">
        <v>0.21</v>
      </c>
      <c r="L653" t="s">
        <v>31</v>
      </c>
      <c r="M653" t="s">
        <v>19</v>
      </c>
      <c r="N653" t="s">
        <v>28</v>
      </c>
      <c r="O653" s="7">
        <f>الجدول1[[#This Row],[Discount]]*1</f>
        <v>0.21</v>
      </c>
      <c r="P653">
        <f>الجدول1[[#This Row],[Sales_Amount]]*(1-الجدول1[[#This Row],[Discount]])</f>
        <v>3015.5405999999998</v>
      </c>
    </row>
    <row r="654" spans="1:16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 s="7">
        <v>0.24</v>
      </c>
      <c r="L654" t="s">
        <v>27</v>
      </c>
      <c r="M654" t="s">
        <v>19</v>
      </c>
      <c r="N654" t="s">
        <v>36</v>
      </c>
      <c r="O654" s="7">
        <f>الجدول1[[#This Row],[Discount]]*1</f>
        <v>0.24</v>
      </c>
      <c r="P654">
        <f>الجدول1[[#This Row],[Sales_Amount]]*(1-الجدول1[[#This Row],[Discount]])</f>
        <v>6123.8976000000002</v>
      </c>
    </row>
    <row r="655" spans="1:16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 s="7">
        <v>0.25</v>
      </c>
      <c r="L655" t="s">
        <v>31</v>
      </c>
      <c r="M655" t="s">
        <v>19</v>
      </c>
      <c r="N655" t="s">
        <v>32</v>
      </c>
      <c r="O655" s="7">
        <f>الجدول1[[#This Row],[Discount]]*1</f>
        <v>0.25</v>
      </c>
      <c r="P655">
        <f>الجدول1[[#This Row],[Sales_Amount]]*(1-الجدول1[[#This Row],[Discount]])</f>
        <v>3293.5349999999999</v>
      </c>
    </row>
    <row r="656" spans="1:16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 s="7">
        <v>0.27</v>
      </c>
      <c r="L656" t="s">
        <v>27</v>
      </c>
      <c r="M656" t="s">
        <v>22</v>
      </c>
      <c r="N656" t="s">
        <v>53</v>
      </c>
      <c r="O656" s="7">
        <f>الجدول1[[#This Row],[Discount]]*1</f>
        <v>0.27</v>
      </c>
      <c r="P656">
        <f>الجدول1[[#This Row],[Sales_Amount]]*(1-الجدول1[[#This Row],[Discount]])</f>
        <v>7279.6403</v>
      </c>
    </row>
    <row r="657" spans="1:16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 s="7">
        <v>0.26</v>
      </c>
      <c r="L657" t="s">
        <v>27</v>
      </c>
      <c r="M657" t="s">
        <v>22</v>
      </c>
      <c r="N657" t="s">
        <v>50</v>
      </c>
      <c r="O657" s="7">
        <f>الجدول1[[#This Row],[Discount]]*1</f>
        <v>0.26</v>
      </c>
      <c r="P657">
        <f>الجدول1[[#This Row],[Sales_Amount]]*(1-الجدول1[[#This Row],[Discount]])</f>
        <v>4169.6705999999995</v>
      </c>
    </row>
    <row r="658" spans="1:16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 s="7">
        <v>0.3</v>
      </c>
      <c r="L658" t="s">
        <v>18</v>
      </c>
      <c r="M658" t="s">
        <v>22</v>
      </c>
      <c r="N658" t="s">
        <v>41</v>
      </c>
      <c r="O658" s="7">
        <f>الجدول1[[#This Row],[Discount]]*1</f>
        <v>0.3</v>
      </c>
      <c r="P658">
        <f>الجدول1[[#This Row],[Sales_Amount]]*(1-الجدول1[[#This Row],[Discount]])</f>
        <v>2295.6570000000002</v>
      </c>
    </row>
    <row r="659" spans="1:16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 s="7">
        <v>7.0000000000000007E-2</v>
      </c>
      <c r="L659" t="s">
        <v>31</v>
      </c>
      <c r="M659" t="s">
        <v>19</v>
      </c>
      <c r="N659" t="s">
        <v>44</v>
      </c>
      <c r="O659" s="7">
        <f>الجدول1[[#This Row],[Discount]]*1</f>
        <v>7.0000000000000007E-2</v>
      </c>
      <c r="P659">
        <f>الجدول1[[#This Row],[Sales_Amount]]*(1-الجدول1[[#This Row],[Discount]])</f>
        <v>2119.5629999999996</v>
      </c>
    </row>
    <row r="660" spans="1:16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 s="7">
        <v>0.23</v>
      </c>
      <c r="L660" t="s">
        <v>18</v>
      </c>
      <c r="M660" t="s">
        <v>19</v>
      </c>
      <c r="N660" t="s">
        <v>40</v>
      </c>
      <c r="O660" s="7">
        <f>الجدول1[[#This Row],[Discount]]*1</f>
        <v>0.23</v>
      </c>
      <c r="P660">
        <f>الجدول1[[#This Row],[Sales_Amount]]*(1-الجدول1[[#This Row],[Discount]])</f>
        <v>2749.0155</v>
      </c>
    </row>
    <row r="661" spans="1:16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 s="7">
        <v>0.18</v>
      </c>
      <c r="L661" t="s">
        <v>31</v>
      </c>
      <c r="M661" t="s">
        <v>22</v>
      </c>
      <c r="N661" t="s">
        <v>39</v>
      </c>
      <c r="O661" s="7">
        <f>الجدول1[[#This Row],[Discount]]*1</f>
        <v>0.18</v>
      </c>
      <c r="P661">
        <f>الجدول1[[#This Row],[Sales_Amount]]*(1-الجدول1[[#This Row],[Discount]])</f>
        <v>3106.2256000000002</v>
      </c>
    </row>
    <row r="662" spans="1:16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 s="7">
        <v>0.08</v>
      </c>
      <c r="L662" t="s">
        <v>18</v>
      </c>
      <c r="M662" t="s">
        <v>19</v>
      </c>
      <c r="N662" t="s">
        <v>52</v>
      </c>
      <c r="O662" s="7">
        <f>الجدول1[[#This Row],[Discount]]*1</f>
        <v>0.08</v>
      </c>
      <c r="P662">
        <f>الجدول1[[#This Row],[Sales_Amount]]*(1-الجدول1[[#This Row],[Discount]])</f>
        <v>717.84839999999997</v>
      </c>
    </row>
    <row r="663" spans="1:16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 s="7">
        <v>0.28999999999999998</v>
      </c>
      <c r="L663" t="s">
        <v>27</v>
      </c>
      <c r="M663" t="s">
        <v>19</v>
      </c>
      <c r="N663" t="s">
        <v>36</v>
      </c>
      <c r="O663" s="7">
        <f>الجدول1[[#This Row],[Discount]]*1</f>
        <v>0.28999999999999998</v>
      </c>
      <c r="P663">
        <f>الجدول1[[#This Row],[Sales_Amount]]*(1-الجدول1[[#This Row],[Discount]])</f>
        <v>2668.7338</v>
      </c>
    </row>
    <row r="664" spans="1:16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 s="7">
        <v>0.27</v>
      </c>
      <c r="L664" t="s">
        <v>18</v>
      </c>
      <c r="M664" t="s">
        <v>22</v>
      </c>
      <c r="N664" t="s">
        <v>37</v>
      </c>
      <c r="O664" s="7">
        <f>الجدول1[[#This Row],[Discount]]*1</f>
        <v>0.27</v>
      </c>
      <c r="P664">
        <f>الجدول1[[#This Row],[Sales_Amount]]*(1-الجدول1[[#This Row],[Discount]])</f>
        <v>3428.0508</v>
      </c>
    </row>
    <row r="665" spans="1:16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 s="7">
        <v>0.04</v>
      </c>
      <c r="L665" t="s">
        <v>18</v>
      </c>
      <c r="M665" t="s">
        <v>19</v>
      </c>
      <c r="N665" t="s">
        <v>40</v>
      </c>
      <c r="O665" s="7">
        <f>الجدول1[[#This Row],[Discount]]*1</f>
        <v>0.04</v>
      </c>
      <c r="P665">
        <f>الجدول1[[#This Row],[Sales_Amount]]*(1-الجدول1[[#This Row],[Discount]])</f>
        <v>6964.8959999999997</v>
      </c>
    </row>
    <row r="666" spans="1:16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 s="7">
        <v>0.01</v>
      </c>
      <c r="L666" t="s">
        <v>27</v>
      </c>
      <c r="M666" t="s">
        <v>19</v>
      </c>
      <c r="N666" t="s">
        <v>45</v>
      </c>
      <c r="O666" s="7">
        <f>الجدول1[[#This Row],[Discount]]*1</f>
        <v>0.01</v>
      </c>
      <c r="P666">
        <f>الجدول1[[#This Row],[Sales_Amount]]*(1-الجدول1[[#This Row],[Discount]])</f>
        <v>6535.6037999999999</v>
      </c>
    </row>
    <row r="667" spans="1:16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 s="7">
        <v>0.21</v>
      </c>
      <c r="L667" t="s">
        <v>18</v>
      </c>
      <c r="M667" t="s">
        <v>19</v>
      </c>
      <c r="N667" t="s">
        <v>51</v>
      </c>
      <c r="O667" s="7">
        <f>الجدول1[[#This Row],[Discount]]*1</f>
        <v>0.21</v>
      </c>
      <c r="P667">
        <f>الجدول1[[#This Row],[Sales_Amount]]*(1-الجدول1[[#This Row],[Discount]])</f>
        <v>5622.2561999999998</v>
      </c>
    </row>
    <row r="668" spans="1:16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 s="7">
        <v>0.18</v>
      </c>
      <c r="L668" t="s">
        <v>27</v>
      </c>
      <c r="M668" t="s">
        <v>22</v>
      </c>
      <c r="N668" t="s">
        <v>41</v>
      </c>
      <c r="O668" s="7">
        <f>الجدول1[[#This Row],[Discount]]*1</f>
        <v>0.18</v>
      </c>
      <c r="P668">
        <f>الجدول1[[#This Row],[Sales_Amount]]*(1-الجدول1[[#This Row],[Discount]])</f>
        <v>149.89600000000002</v>
      </c>
    </row>
    <row r="669" spans="1:16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 s="7">
        <v>0.28000000000000003</v>
      </c>
      <c r="L669" t="s">
        <v>31</v>
      </c>
      <c r="M669" t="s">
        <v>22</v>
      </c>
      <c r="N669" t="s">
        <v>20</v>
      </c>
      <c r="O669" s="7">
        <f>الجدول1[[#This Row],[Discount]]*1</f>
        <v>0.28000000000000003</v>
      </c>
      <c r="P669">
        <f>الجدول1[[#This Row],[Sales_Amount]]*(1-الجدول1[[#This Row],[Discount]])</f>
        <v>1623.5351999999998</v>
      </c>
    </row>
    <row r="670" spans="1:16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 s="7">
        <v>7.0000000000000007E-2</v>
      </c>
      <c r="L670" t="s">
        <v>18</v>
      </c>
      <c r="M670" t="s">
        <v>19</v>
      </c>
      <c r="N670" t="s">
        <v>32</v>
      </c>
      <c r="O670" s="7">
        <f>الجدول1[[#This Row],[Discount]]*1</f>
        <v>7.0000000000000007E-2</v>
      </c>
      <c r="P670">
        <f>الجدول1[[#This Row],[Sales_Amount]]*(1-الجدول1[[#This Row],[Discount]])</f>
        <v>6185.1230999999998</v>
      </c>
    </row>
    <row r="671" spans="1:16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 s="7">
        <v>0.03</v>
      </c>
      <c r="L671" t="s">
        <v>27</v>
      </c>
      <c r="M671" t="s">
        <v>22</v>
      </c>
      <c r="N671" t="s">
        <v>43</v>
      </c>
      <c r="O671" s="7">
        <f>الجدول1[[#This Row],[Discount]]*1</f>
        <v>0.03</v>
      </c>
      <c r="P671">
        <f>الجدول1[[#This Row],[Sales_Amount]]*(1-الجدول1[[#This Row],[Discount]])</f>
        <v>4744.7452999999996</v>
      </c>
    </row>
    <row r="672" spans="1:16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 s="7">
        <v>0.08</v>
      </c>
      <c r="L672" t="s">
        <v>27</v>
      </c>
      <c r="M672" t="s">
        <v>22</v>
      </c>
      <c r="N672" t="s">
        <v>47</v>
      </c>
      <c r="O672" s="7">
        <f>الجدول1[[#This Row],[Discount]]*1</f>
        <v>0.08</v>
      </c>
      <c r="P672">
        <f>الجدول1[[#This Row],[Sales_Amount]]*(1-الجدول1[[#This Row],[Discount]])</f>
        <v>140.392</v>
      </c>
    </row>
    <row r="673" spans="1:16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 s="7">
        <v>0.01</v>
      </c>
      <c r="L673" t="s">
        <v>18</v>
      </c>
      <c r="M673" t="s">
        <v>22</v>
      </c>
      <c r="N673" t="s">
        <v>39</v>
      </c>
      <c r="O673" s="7">
        <f>الجدول1[[#This Row],[Discount]]*1</f>
        <v>0.01</v>
      </c>
      <c r="P673">
        <f>الجدول1[[#This Row],[Sales_Amount]]*(1-الجدول1[[#This Row],[Discount]])</f>
        <v>7983.8549999999996</v>
      </c>
    </row>
    <row r="674" spans="1:16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 s="7">
        <v>0.01</v>
      </c>
      <c r="L674" t="s">
        <v>31</v>
      </c>
      <c r="M674" t="s">
        <v>19</v>
      </c>
      <c r="N674" t="s">
        <v>53</v>
      </c>
      <c r="O674" s="7">
        <f>الجدول1[[#This Row],[Discount]]*1</f>
        <v>0.01</v>
      </c>
      <c r="P674">
        <f>الجدول1[[#This Row],[Sales_Amount]]*(1-الجدول1[[#This Row],[Discount]])</f>
        <v>7673.3019000000004</v>
      </c>
    </row>
    <row r="675" spans="1:16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 s="7">
        <v>0.27</v>
      </c>
      <c r="L675" t="s">
        <v>18</v>
      </c>
      <c r="M675" t="s">
        <v>22</v>
      </c>
      <c r="N675" t="s">
        <v>52</v>
      </c>
      <c r="O675" s="7">
        <f>الجدول1[[#This Row],[Discount]]*1</f>
        <v>0.27</v>
      </c>
      <c r="P675">
        <f>الجدول1[[#This Row],[Sales_Amount]]*(1-الجدول1[[#This Row],[Discount]])</f>
        <v>4036.4255000000003</v>
      </c>
    </row>
    <row r="676" spans="1:16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 s="7">
        <v>0.11</v>
      </c>
      <c r="L676" t="s">
        <v>27</v>
      </c>
      <c r="M676" t="s">
        <v>19</v>
      </c>
      <c r="N676" t="s">
        <v>50</v>
      </c>
      <c r="O676" s="7">
        <f>الجدول1[[#This Row],[Discount]]*1</f>
        <v>0.11</v>
      </c>
      <c r="P676">
        <f>الجدول1[[#This Row],[Sales_Amount]]*(1-الجدول1[[#This Row],[Discount]])</f>
        <v>674.61109999999996</v>
      </c>
    </row>
    <row r="677" spans="1:16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 s="7">
        <v>0.12</v>
      </c>
      <c r="L677" t="s">
        <v>31</v>
      </c>
      <c r="M677" t="s">
        <v>19</v>
      </c>
      <c r="N677" t="s">
        <v>44</v>
      </c>
      <c r="O677" s="7">
        <f>الجدول1[[#This Row],[Discount]]*1</f>
        <v>0.12</v>
      </c>
      <c r="P677">
        <f>الجدول1[[#This Row],[Sales_Amount]]*(1-الجدول1[[#This Row],[Discount]])</f>
        <v>6765.88</v>
      </c>
    </row>
    <row r="678" spans="1:16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 s="7">
        <v>0.01</v>
      </c>
      <c r="L678" t="s">
        <v>18</v>
      </c>
      <c r="M678" t="s">
        <v>22</v>
      </c>
      <c r="N678" t="s">
        <v>23</v>
      </c>
      <c r="O678" s="7">
        <f>الجدول1[[#This Row],[Discount]]*1</f>
        <v>0.01</v>
      </c>
      <c r="P678">
        <f>الجدول1[[#This Row],[Sales_Amount]]*(1-الجدول1[[#This Row],[Discount]])</f>
        <v>5819.9724000000006</v>
      </c>
    </row>
    <row r="679" spans="1:16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 s="7">
        <v>0.08</v>
      </c>
      <c r="L679" t="s">
        <v>27</v>
      </c>
      <c r="M679" t="s">
        <v>19</v>
      </c>
      <c r="N679" t="s">
        <v>23</v>
      </c>
      <c r="O679" s="7">
        <f>الجدول1[[#This Row],[Discount]]*1</f>
        <v>0.08</v>
      </c>
      <c r="P679">
        <f>الجدول1[[#This Row],[Sales_Amount]]*(1-الجدول1[[#This Row],[Discount]])</f>
        <v>7214.0879999999997</v>
      </c>
    </row>
    <row r="680" spans="1:16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 s="7">
        <v>0.24</v>
      </c>
      <c r="L680" t="s">
        <v>18</v>
      </c>
      <c r="M680" t="s">
        <v>22</v>
      </c>
      <c r="N680" t="s">
        <v>37</v>
      </c>
      <c r="O680" s="7">
        <f>الجدول1[[#This Row],[Discount]]*1</f>
        <v>0.24</v>
      </c>
      <c r="P680">
        <f>الجدول1[[#This Row],[Sales_Amount]]*(1-الجدول1[[#This Row],[Discount]])</f>
        <v>5732.1480000000001</v>
      </c>
    </row>
    <row r="681" spans="1:16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 s="7">
        <v>0.18</v>
      </c>
      <c r="L681" t="s">
        <v>31</v>
      </c>
      <c r="M681" t="s">
        <v>22</v>
      </c>
      <c r="N681" t="s">
        <v>51</v>
      </c>
      <c r="O681" s="7">
        <f>الجدول1[[#This Row],[Discount]]*1</f>
        <v>0.18</v>
      </c>
      <c r="P681">
        <f>الجدول1[[#This Row],[Sales_Amount]]*(1-الجدول1[[#This Row],[Discount]])</f>
        <v>6600.7704000000003</v>
      </c>
    </row>
    <row r="682" spans="1:16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 s="7">
        <v>0.23</v>
      </c>
      <c r="L682" t="s">
        <v>31</v>
      </c>
      <c r="M682" t="s">
        <v>19</v>
      </c>
      <c r="N682" t="s">
        <v>23</v>
      </c>
      <c r="O682" s="7">
        <f>الجدول1[[#This Row],[Discount]]*1</f>
        <v>0.23</v>
      </c>
      <c r="P682">
        <f>الجدول1[[#This Row],[Sales_Amount]]*(1-الجدول1[[#This Row],[Discount]])</f>
        <v>4025.7755999999999</v>
      </c>
    </row>
    <row r="683" spans="1:16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 s="7">
        <v>0.13</v>
      </c>
      <c r="L683" t="s">
        <v>31</v>
      </c>
      <c r="M683" t="s">
        <v>19</v>
      </c>
      <c r="N683" t="s">
        <v>39</v>
      </c>
      <c r="O683" s="7">
        <f>الجدول1[[#This Row],[Discount]]*1</f>
        <v>0.13</v>
      </c>
      <c r="P683">
        <f>الجدول1[[#This Row],[Sales_Amount]]*(1-الجدول1[[#This Row],[Discount]])</f>
        <v>1295.6127000000001</v>
      </c>
    </row>
    <row r="684" spans="1:16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 s="7">
        <v>0.09</v>
      </c>
      <c r="L684" t="s">
        <v>31</v>
      </c>
      <c r="M684" t="s">
        <v>22</v>
      </c>
      <c r="N684" t="s">
        <v>36</v>
      </c>
      <c r="O684" s="7">
        <f>الجدول1[[#This Row],[Discount]]*1</f>
        <v>0.09</v>
      </c>
      <c r="P684">
        <f>الجدول1[[#This Row],[Sales_Amount]]*(1-الجدول1[[#This Row],[Discount]])</f>
        <v>6137.4585999999999</v>
      </c>
    </row>
    <row r="685" spans="1:16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 s="7">
        <v>0.14000000000000001</v>
      </c>
      <c r="L685" t="s">
        <v>31</v>
      </c>
      <c r="M685" t="s">
        <v>22</v>
      </c>
      <c r="N685" t="s">
        <v>36</v>
      </c>
      <c r="O685" s="7">
        <f>الجدول1[[#This Row],[Discount]]*1</f>
        <v>0.14000000000000001</v>
      </c>
      <c r="P685">
        <f>الجدول1[[#This Row],[Sales_Amount]]*(1-الجدول1[[#This Row],[Discount]])</f>
        <v>5368.7133999999996</v>
      </c>
    </row>
    <row r="686" spans="1:16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 s="7">
        <v>0.1</v>
      </c>
      <c r="L686" t="s">
        <v>18</v>
      </c>
      <c r="M686" t="s">
        <v>22</v>
      </c>
      <c r="N686" t="s">
        <v>32</v>
      </c>
      <c r="O686" s="7">
        <f>الجدول1[[#This Row],[Discount]]*1</f>
        <v>0.1</v>
      </c>
      <c r="P686">
        <f>الجدول1[[#This Row],[Sales_Amount]]*(1-الجدول1[[#This Row],[Discount]])</f>
        <v>6703.4790000000003</v>
      </c>
    </row>
    <row r="687" spans="1:16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 s="7">
        <v>0.25</v>
      </c>
      <c r="L687" t="s">
        <v>31</v>
      </c>
      <c r="M687" t="s">
        <v>22</v>
      </c>
      <c r="N687" t="s">
        <v>51</v>
      </c>
      <c r="O687" s="7">
        <f>الجدول1[[#This Row],[Discount]]*1</f>
        <v>0.25</v>
      </c>
      <c r="P687">
        <f>الجدول1[[#This Row],[Sales_Amount]]*(1-الجدول1[[#This Row],[Discount]])</f>
        <v>1336.365</v>
      </c>
    </row>
    <row r="688" spans="1:16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 s="7">
        <v>0.09</v>
      </c>
      <c r="L688" t="s">
        <v>31</v>
      </c>
      <c r="M688" t="s">
        <v>19</v>
      </c>
      <c r="N688" t="s">
        <v>39</v>
      </c>
      <c r="O688" s="7">
        <f>الجدول1[[#This Row],[Discount]]*1</f>
        <v>0.09</v>
      </c>
      <c r="P688">
        <f>الجدول1[[#This Row],[Sales_Amount]]*(1-الجدول1[[#This Row],[Discount]])</f>
        <v>1847.5275000000001</v>
      </c>
    </row>
    <row r="689" spans="1:16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 s="7">
        <v>0.2</v>
      </c>
      <c r="L689" t="s">
        <v>27</v>
      </c>
      <c r="M689" t="s">
        <v>19</v>
      </c>
      <c r="N689" t="s">
        <v>52</v>
      </c>
      <c r="O689" s="7">
        <f>الجدول1[[#This Row],[Discount]]*1</f>
        <v>0.2</v>
      </c>
      <c r="P689">
        <f>الجدول1[[#This Row],[Sales_Amount]]*(1-الجدول1[[#This Row],[Discount]])</f>
        <v>7132.04</v>
      </c>
    </row>
    <row r="690" spans="1:16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 s="7">
        <v>0.04</v>
      </c>
      <c r="L690" t="s">
        <v>31</v>
      </c>
      <c r="M690" t="s">
        <v>19</v>
      </c>
      <c r="N690" t="s">
        <v>45</v>
      </c>
      <c r="O690" s="7">
        <f>الجدول1[[#This Row],[Discount]]*1</f>
        <v>0.04</v>
      </c>
      <c r="P690">
        <f>الجدول1[[#This Row],[Sales_Amount]]*(1-الجدول1[[#This Row],[Discount]])</f>
        <v>7223.7887999999994</v>
      </c>
    </row>
    <row r="691" spans="1:16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 s="7">
        <v>0.21</v>
      </c>
      <c r="L691" t="s">
        <v>27</v>
      </c>
      <c r="M691" t="s">
        <v>22</v>
      </c>
      <c r="N691" t="s">
        <v>28</v>
      </c>
      <c r="O691" s="7">
        <f>الجدول1[[#This Row],[Discount]]*1</f>
        <v>0.21</v>
      </c>
      <c r="P691">
        <f>الجدول1[[#This Row],[Sales_Amount]]*(1-الجدول1[[#This Row],[Discount]])</f>
        <v>7182.2533999999996</v>
      </c>
    </row>
    <row r="692" spans="1:16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 s="7">
        <v>0.27</v>
      </c>
      <c r="L692" t="s">
        <v>27</v>
      </c>
      <c r="M692" t="s">
        <v>19</v>
      </c>
      <c r="N692" t="s">
        <v>23</v>
      </c>
      <c r="O692" s="7">
        <f>الجدول1[[#This Row],[Discount]]*1</f>
        <v>0.27</v>
      </c>
      <c r="P692">
        <f>الجدول1[[#This Row],[Sales_Amount]]*(1-الجدول1[[#This Row],[Discount]])</f>
        <v>5556.2343999999994</v>
      </c>
    </row>
    <row r="693" spans="1:16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 s="7">
        <v>0.18</v>
      </c>
      <c r="L693" t="s">
        <v>27</v>
      </c>
      <c r="M693" t="s">
        <v>19</v>
      </c>
      <c r="N693" t="s">
        <v>46</v>
      </c>
      <c r="O693" s="7">
        <f>الجدول1[[#This Row],[Discount]]*1</f>
        <v>0.18</v>
      </c>
      <c r="P693">
        <f>الجدول1[[#This Row],[Sales_Amount]]*(1-الجدول1[[#This Row],[Discount]])</f>
        <v>4929.7088000000003</v>
      </c>
    </row>
    <row r="694" spans="1:16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 s="7">
        <v>0.17</v>
      </c>
      <c r="L694" t="s">
        <v>18</v>
      </c>
      <c r="M694" t="s">
        <v>19</v>
      </c>
      <c r="N694" t="s">
        <v>46</v>
      </c>
      <c r="O694" s="7">
        <f>الجدول1[[#This Row],[Discount]]*1</f>
        <v>0.17</v>
      </c>
      <c r="P694">
        <f>الجدول1[[#This Row],[Sales_Amount]]*(1-الجدول1[[#This Row],[Discount]])</f>
        <v>5458.0052999999998</v>
      </c>
    </row>
    <row r="695" spans="1:16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 s="7">
        <v>0.28999999999999998</v>
      </c>
      <c r="L695" t="s">
        <v>18</v>
      </c>
      <c r="M695" t="s">
        <v>19</v>
      </c>
      <c r="N695" t="s">
        <v>50</v>
      </c>
      <c r="O695" s="7">
        <f>الجدول1[[#This Row],[Discount]]*1</f>
        <v>0.28999999999999998</v>
      </c>
      <c r="P695">
        <f>الجدول1[[#This Row],[Sales_Amount]]*(1-الجدول1[[#This Row],[Discount]])</f>
        <v>6320.6827000000003</v>
      </c>
    </row>
    <row r="696" spans="1:16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 s="7">
        <v>0.19</v>
      </c>
      <c r="L696" t="s">
        <v>27</v>
      </c>
      <c r="M696" t="s">
        <v>22</v>
      </c>
      <c r="N696" t="s">
        <v>52</v>
      </c>
      <c r="O696" s="7">
        <f>الجدول1[[#This Row],[Discount]]*1</f>
        <v>0.19</v>
      </c>
      <c r="P696">
        <f>الجدول1[[#This Row],[Sales_Amount]]*(1-الجدول1[[#This Row],[Discount]])</f>
        <v>4722.4539000000004</v>
      </c>
    </row>
    <row r="697" spans="1:16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 s="7">
        <v>0.08</v>
      </c>
      <c r="L697" t="s">
        <v>18</v>
      </c>
      <c r="M697" t="s">
        <v>19</v>
      </c>
      <c r="N697" t="s">
        <v>51</v>
      </c>
      <c r="O697" s="7">
        <f>الجدول1[[#This Row],[Discount]]*1</f>
        <v>0.08</v>
      </c>
      <c r="P697">
        <f>الجدول1[[#This Row],[Sales_Amount]]*(1-الجدول1[[#This Row],[Discount]])</f>
        <v>5851.8164000000006</v>
      </c>
    </row>
    <row r="698" spans="1:16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 s="7">
        <v>0.09</v>
      </c>
      <c r="L698" t="s">
        <v>31</v>
      </c>
      <c r="M698" t="s">
        <v>19</v>
      </c>
      <c r="N698" t="s">
        <v>20</v>
      </c>
      <c r="O698" s="7">
        <f>الجدول1[[#This Row],[Discount]]*1</f>
        <v>0.09</v>
      </c>
      <c r="P698">
        <f>الجدول1[[#This Row],[Sales_Amount]]*(1-الجدول1[[#This Row],[Discount]])</f>
        <v>1500.6992</v>
      </c>
    </row>
    <row r="699" spans="1:16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 s="7">
        <v>0.21</v>
      </c>
      <c r="L699" t="s">
        <v>18</v>
      </c>
      <c r="M699" t="s">
        <v>19</v>
      </c>
      <c r="N699" t="s">
        <v>48</v>
      </c>
      <c r="O699" s="7">
        <f>الجدول1[[#This Row],[Discount]]*1</f>
        <v>0.21</v>
      </c>
      <c r="P699">
        <f>الجدول1[[#This Row],[Sales_Amount]]*(1-الجدول1[[#This Row],[Discount]])</f>
        <v>3785.5378000000001</v>
      </c>
    </row>
    <row r="700" spans="1:16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 s="7">
        <v>0.22</v>
      </c>
      <c r="L700" t="s">
        <v>31</v>
      </c>
      <c r="M700" t="s">
        <v>19</v>
      </c>
      <c r="N700" t="s">
        <v>43</v>
      </c>
      <c r="O700" s="7">
        <f>الجدول1[[#This Row],[Discount]]*1</f>
        <v>0.22</v>
      </c>
      <c r="P700">
        <f>الجدول1[[#This Row],[Sales_Amount]]*(1-الجدول1[[#This Row],[Discount]])</f>
        <v>5610.0173999999997</v>
      </c>
    </row>
    <row r="701" spans="1:16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 s="7">
        <v>0.09</v>
      </c>
      <c r="L701" t="s">
        <v>31</v>
      </c>
      <c r="M701" t="s">
        <v>22</v>
      </c>
      <c r="N701" t="s">
        <v>45</v>
      </c>
      <c r="O701" s="7">
        <f>الجدول1[[#This Row],[Discount]]*1</f>
        <v>0.09</v>
      </c>
      <c r="P701">
        <f>الجدول1[[#This Row],[Sales_Amount]]*(1-الجدول1[[#This Row],[Discount]])</f>
        <v>2531.9203000000002</v>
      </c>
    </row>
    <row r="702" spans="1:16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 s="7">
        <v>0.1</v>
      </c>
      <c r="L702" t="s">
        <v>18</v>
      </c>
      <c r="M702" t="s">
        <v>22</v>
      </c>
      <c r="N702" t="s">
        <v>36</v>
      </c>
      <c r="O702" s="7">
        <f>الجدول1[[#This Row],[Discount]]*1</f>
        <v>0.1</v>
      </c>
      <c r="P702">
        <f>الجدول1[[#This Row],[Sales_Amount]]*(1-الجدول1[[#This Row],[Discount]])</f>
        <v>1892.0880000000002</v>
      </c>
    </row>
    <row r="703" spans="1:16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 s="7">
        <v>0.3</v>
      </c>
      <c r="L703" t="s">
        <v>18</v>
      </c>
      <c r="M703" t="s">
        <v>19</v>
      </c>
      <c r="N703" t="s">
        <v>53</v>
      </c>
      <c r="O703" s="7">
        <f>الجدول1[[#This Row],[Discount]]*1</f>
        <v>0.3</v>
      </c>
      <c r="P703">
        <f>الجدول1[[#This Row],[Sales_Amount]]*(1-الجدول1[[#This Row],[Discount]])</f>
        <v>2244.8229999999999</v>
      </c>
    </row>
    <row r="704" spans="1:16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 s="7">
        <v>0.03</v>
      </c>
      <c r="L704" t="s">
        <v>27</v>
      </c>
      <c r="M704" t="s">
        <v>22</v>
      </c>
      <c r="N704" t="s">
        <v>44</v>
      </c>
      <c r="O704" s="7">
        <f>الجدول1[[#This Row],[Discount]]*1</f>
        <v>0.03</v>
      </c>
      <c r="P704">
        <f>الجدول1[[#This Row],[Sales_Amount]]*(1-الجدول1[[#This Row],[Discount]])</f>
        <v>2416.1342</v>
      </c>
    </row>
    <row r="705" spans="1:16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 s="7">
        <v>0.12</v>
      </c>
      <c r="L705" t="s">
        <v>18</v>
      </c>
      <c r="M705" t="s">
        <v>22</v>
      </c>
      <c r="N705" t="s">
        <v>48</v>
      </c>
      <c r="O705" s="7">
        <f>الجدول1[[#This Row],[Discount]]*1</f>
        <v>0.12</v>
      </c>
      <c r="P705">
        <f>الجدول1[[#This Row],[Sales_Amount]]*(1-الجدول1[[#This Row],[Discount]])</f>
        <v>1960.3231999999998</v>
      </c>
    </row>
    <row r="706" spans="1:16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 s="7">
        <v>0.02</v>
      </c>
      <c r="L706" t="s">
        <v>18</v>
      </c>
      <c r="M706" t="s">
        <v>22</v>
      </c>
      <c r="N706" t="s">
        <v>32</v>
      </c>
      <c r="O706" s="7">
        <f>الجدول1[[#This Row],[Discount]]*1</f>
        <v>0.02</v>
      </c>
      <c r="P706">
        <f>الجدول1[[#This Row],[Sales_Amount]]*(1-الجدول1[[#This Row],[Discount]])</f>
        <v>4219.8996000000006</v>
      </c>
    </row>
    <row r="707" spans="1:16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 s="7">
        <v>0.25</v>
      </c>
      <c r="L707" t="s">
        <v>18</v>
      </c>
      <c r="M707" t="s">
        <v>22</v>
      </c>
      <c r="N707" t="s">
        <v>47</v>
      </c>
      <c r="O707" s="7">
        <f>الجدول1[[#This Row],[Discount]]*1</f>
        <v>0.25</v>
      </c>
      <c r="P707">
        <f>الجدول1[[#This Row],[Sales_Amount]]*(1-الجدول1[[#This Row],[Discount]])</f>
        <v>6815.7000000000007</v>
      </c>
    </row>
    <row r="708" spans="1:16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 s="7">
        <v>0.03</v>
      </c>
      <c r="L708" t="s">
        <v>31</v>
      </c>
      <c r="M708" t="s">
        <v>19</v>
      </c>
      <c r="N708" t="s">
        <v>48</v>
      </c>
      <c r="O708" s="7">
        <f>الجدول1[[#This Row],[Discount]]*1</f>
        <v>0.03</v>
      </c>
      <c r="P708">
        <f>الجدول1[[#This Row],[Sales_Amount]]*(1-الجدول1[[#This Row],[Discount]])</f>
        <v>4966.2933000000003</v>
      </c>
    </row>
    <row r="709" spans="1:16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 s="7">
        <v>0.2</v>
      </c>
      <c r="L709" t="s">
        <v>31</v>
      </c>
      <c r="M709" t="s">
        <v>22</v>
      </c>
      <c r="N709" t="s">
        <v>50</v>
      </c>
      <c r="O709" s="7">
        <f>الجدول1[[#This Row],[Discount]]*1</f>
        <v>0.2</v>
      </c>
      <c r="P709">
        <f>الجدول1[[#This Row],[Sales_Amount]]*(1-الجدول1[[#This Row],[Discount]])</f>
        <v>1568.3280000000002</v>
      </c>
    </row>
    <row r="710" spans="1:16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 s="7">
        <v>0.02</v>
      </c>
      <c r="L710" t="s">
        <v>31</v>
      </c>
      <c r="M710" t="s">
        <v>22</v>
      </c>
      <c r="N710" t="s">
        <v>50</v>
      </c>
      <c r="O710" s="7">
        <f>الجدول1[[#This Row],[Discount]]*1</f>
        <v>0.02</v>
      </c>
      <c r="P710">
        <f>الجدول1[[#This Row],[Sales_Amount]]*(1-الجدول1[[#This Row],[Discount]])</f>
        <v>844.77959999999996</v>
      </c>
    </row>
    <row r="711" spans="1:16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 s="7">
        <v>0.2</v>
      </c>
      <c r="L711" t="s">
        <v>27</v>
      </c>
      <c r="M711" t="s">
        <v>19</v>
      </c>
      <c r="N711" t="s">
        <v>46</v>
      </c>
      <c r="O711" s="7">
        <f>الجدول1[[#This Row],[Discount]]*1</f>
        <v>0.2</v>
      </c>
      <c r="P711">
        <f>الجدول1[[#This Row],[Sales_Amount]]*(1-الجدول1[[#This Row],[Discount]])</f>
        <v>5593.56</v>
      </c>
    </row>
    <row r="712" spans="1:16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 s="7">
        <v>0.25</v>
      </c>
      <c r="L712" t="s">
        <v>27</v>
      </c>
      <c r="M712" t="s">
        <v>19</v>
      </c>
      <c r="N712" t="s">
        <v>37</v>
      </c>
      <c r="O712" s="7">
        <f>الجدول1[[#This Row],[Discount]]*1</f>
        <v>0.25</v>
      </c>
      <c r="P712">
        <f>الجدول1[[#This Row],[Sales_Amount]]*(1-الجدول1[[#This Row],[Discount]])</f>
        <v>2917.2825000000003</v>
      </c>
    </row>
    <row r="713" spans="1:16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 s="7">
        <v>0.12</v>
      </c>
      <c r="L713" t="s">
        <v>27</v>
      </c>
      <c r="M713" t="s">
        <v>19</v>
      </c>
      <c r="N713" t="s">
        <v>46</v>
      </c>
      <c r="O713" s="7">
        <f>الجدول1[[#This Row],[Discount]]*1</f>
        <v>0.12</v>
      </c>
      <c r="P713">
        <f>الجدول1[[#This Row],[Sales_Amount]]*(1-الجدول1[[#This Row],[Discount]])</f>
        <v>7247.7943999999998</v>
      </c>
    </row>
    <row r="714" spans="1:16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 s="7">
        <v>0.16</v>
      </c>
      <c r="L714" t="s">
        <v>31</v>
      </c>
      <c r="M714" t="s">
        <v>19</v>
      </c>
      <c r="N714" t="s">
        <v>40</v>
      </c>
      <c r="O714" s="7">
        <f>الجدول1[[#This Row],[Discount]]*1</f>
        <v>0.16</v>
      </c>
      <c r="P714">
        <f>الجدول1[[#This Row],[Sales_Amount]]*(1-الجدول1[[#This Row],[Discount]])</f>
        <v>5568.4943999999996</v>
      </c>
    </row>
    <row r="715" spans="1:16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 s="7">
        <v>0.12</v>
      </c>
      <c r="L715" t="s">
        <v>18</v>
      </c>
      <c r="M715" t="s">
        <v>22</v>
      </c>
      <c r="N715" t="s">
        <v>48</v>
      </c>
      <c r="O715" s="7">
        <f>الجدول1[[#This Row],[Discount]]*1</f>
        <v>0.12</v>
      </c>
      <c r="P715">
        <f>الجدول1[[#This Row],[Sales_Amount]]*(1-الجدول1[[#This Row],[Discount]])</f>
        <v>7024.8552</v>
      </c>
    </row>
    <row r="716" spans="1:16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 s="7">
        <v>0.09</v>
      </c>
      <c r="L716" t="s">
        <v>27</v>
      </c>
      <c r="M716" t="s">
        <v>19</v>
      </c>
      <c r="N716" t="s">
        <v>41</v>
      </c>
      <c r="O716" s="7">
        <f>الجدول1[[#This Row],[Discount]]*1</f>
        <v>0.09</v>
      </c>
      <c r="P716">
        <f>الجدول1[[#This Row],[Sales_Amount]]*(1-الجدول1[[#This Row],[Discount]])</f>
        <v>2540.9657000000002</v>
      </c>
    </row>
    <row r="717" spans="1:16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 s="7">
        <v>0.24</v>
      </c>
      <c r="L717" t="s">
        <v>27</v>
      </c>
      <c r="M717" t="s">
        <v>22</v>
      </c>
      <c r="N717" t="s">
        <v>46</v>
      </c>
      <c r="O717" s="7">
        <f>الجدول1[[#This Row],[Discount]]*1</f>
        <v>0.24</v>
      </c>
      <c r="P717">
        <f>الجدول1[[#This Row],[Sales_Amount]]*(1-الجدول1[[#This Row],[Discount]])</f>
        <v>5285.3060000000005</v>
      </c>
    </row>
    <row r="718" spans="1:16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 s="7">
        <v>0.08</v>
      </c>
      <c r="L718" t="s">
        <v>31</v>
      </c>
      <c r="M718" t="s">
        <v>22</v>
      </c>
      <c r="N718" t="s">
        <v>45</v>
      </c>
      <c r="O718" s="7">
        <f>الجدول1[[#This Row],[Discount]]*1</f>
        <v>0.08</v>
      </c>
      <c r="P718">
        <f>الجدول1[[#This Row],[Sales_Amount]]*(1-الجدول1[[#This Row],[Discount]])</f>
        <v>2497.0732000000003</v>
      </c>
    </row>
    <row r="719" spans="1:16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 s="7">
        <v>0.22</v>
      </c>
      <c r="L719" t="s">
        <v>27</v>
      </c>
      <c r="M719" t="s">
        <v>19</v>
      </c>
      <c r="N719" t="s">
        <v>47</v>
      </c>
      <c r="O719" s="7">
        <f>الجدول1[[#This Row],[Discount]]*1</f>
        <v>0.22</v>
      </c>
      <c r="P719">
        <f>الجدول1[[#This Row],[Sales_Amount]]*(1-الجدول1[[#This Row],[Discount]])</f>
        <v>7329.4884000000011</v>
      </c>
    </row>
    <row r="720" spans="1:16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 s="7">
        <v>0.06</v>
      </c>
      <c r="L720" t="s">
        <v>18</v>
      </c>
      <c r="M720" t="s">
        <v>19</v>
      </c>
      <c r="N720" t="s">
        <v>51</v>
      </c>
      <c r="O720" s="7">
        <f>الجدول1[[#This Row],[Discount]]*1</f>
        <v>0.06</v>
      </c>
      <c r="P720">
        <f>الجدول1[[#This Row],[Sales_Amount]]*(1-الجدول1[[#This Row],[Discount]])</f>
        <v>6016.1033999999991</v>
      </c>
    </row>
    <row r="721" spans="1:16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 s="7">
        <v>7.0000000000000007E-2</v>
      </c>
      <c r="L721" t="s">
        <v>31</v>
      </c>
      <c r="M721" t="s">
        <v>22</v>
      </c>
      <c r="N721" t="s">
        <v>40</v>
      </c>
      <c r="O721" s="7">
        <f>الجدول1[[#This Row],[Discount]]*1</f>
        <v>7.0000000000000007E-2</v>
      </c>
      <c r="P721">
        <f>الجدول1[[#This Row],[Sales_Amount]]*(1-الجدول1[[#This Row],[Discount]])</f>
        <v>3080.7830999999996</v>
      </c>
    </row>
    <row r="722" spans="1:16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 s="7">
        <v>0.1</v>
      </c>
      <c r="L722" t="s">
        <v>31</v>
      </c>
      <c r="M722" t="s">
        <v>22</v>
      </c>
      <c r="N722" t="s">
        <v>45</v>
      </c>
      <c r="O722" s="7">
        <f>الجدول1[[#This Row],[Discount]]*1</f>
        <v>0.1</v>
      </c>
      <c r="P722">
        <f>الجدول1[[#This Row],[Sales_Amount]]*(1-الجدول1[[#This Row],[Discount]])</f>
        <v>2491.3530000000001</v>
      </c>
    </row>
    <row r="723" spans="1:16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 s="7">
        <v>0.18</v>
      </c>
      <c r="L723" t="s">
        <v>18</v>
      </c>
      <c r="M723" t="s">
        <v>19</v>
      </c>
      <c r="N723" t="s">
        <v>49</v>
      </c>
      <c r="O723" s="7">
        <f>الجدول1[[#This Row],[Discount]]*1</f>
        <v>0.18</v>
      </c>
      <c r="P723">
        <f>الجدول1[[#This Row],[Sales_Amount]]*(1-الجدول1[[#This Row],[Discount]])</f>
        <v>1631.9394000000002</v>
      </c>
    </row>
    <row r="724" spans="1:16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 s="7">
        <v>0.14000000000000001</v>
      </c>
      <c r="L724" t="s">
        <v>18</v>
      </c>
      <c r="M724" t="s">
        <v>19</v>
      </c>
      <c r="N724" t="s">
        <v>45</v>
      </c>
      <c r="O724" s="7">
        <f>الجدول1[[#This Row],[Discount]]*1</f>
        <v>0.14000000000000001</v>
      </c>
      <c r="P724">
        <f>الجدول1[[#This Row],[Sales_Amount]]*(1-الجدول1[[#This Row],[Discount]])</f>
        <v>6000.1769999999997</v>
      </c>
    </row>
    <row r="725" spans="1:16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 s="7">
        <v>0.22</v>
      </c>
      <c r="L725" t="s">
        <v>18</v>
      </c>
      <c r="M725" t="s">
        <v>19</v>
      </c>
      <c r="N725" t="s">
        <v>40</v>
      </c>
      <c r="O725" s="7">
        <f>الجدول1[[#This Row],[Discount]]*1</f>
        <v>0.22</v>
      </c>
      <c r="P725">
        <f>الجدول1[[#This Row],[Sales_Amount]]*(1-الجدول1[[#This Row],[Discount]])</f>
        <v>1766.9184000000002</v>
      </c>
    </row>
    <row r="726" spans="1:16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 s="7">
        <v>0.06</v>
      </c>
      <c r="L726" t="s">
        <v>27</v>
      </c>
      <c r="M726" t="s">
        <v>22</v>
      </c>
      <c r="N726" t="s">
        <v>37</v>
      </c>
      <c r="O726" s="7">
        <f>الجدول1[[#This Row],[Discount]]*1</f>
        <v>0.06</v>
      </c>
      <c r="P726">
        <f>الجدول1[[#This Row],[Sales_Amount]]*(1-الجدول1[[#This Row],[Discount]])</f>
        <v>5633.8899999999994</v>
      </c>
    </row>
    <row r="727" spans="1:16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 s="7">
        <v>0</v>
      </c>
      <c r="L727" t="s">
        <v>18</v>
      </c>
      <c r="M727" t="s">
        <v>22</v>
      </c>
      <c r="N727" t="s">
        <v>41</v>
      </c>
      <c r="O727" s="7">
        <f>الجدول1[[#This Row],[Discount]]*1</f>
        <v>0</v>
      </c>
      <c r="P727">
        <f>الجدول1[[#This Row],[Sales_Amount]]*(1-الجدول1[[#This Row],[Discount]])</f>
        <v>2719.89</v>
      </c>
    </row>
    <row r="728" spans="1:16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 s="7">
        <v>0.23</v>
      </c>
      <c r="L728" t="s">
        <v>31</v>
      </c>
      <c r="M728" t="s">
        <v>19</v>
      </c>
      <c r="N728" t="s">
        <v>46</v>
      </c>
      <c r="O728" s="7">
        <f>الجدول1[[#This Row],[Discount]]*1</f>
        <v>0.23</v>
      </c>
      <c r="P728">
        <f>الجدول1[[#This Row],[Sales_Amount]]*(1-الجدول1[[#This Row],[Discount]])</f>
        <v>5123.1872999999996</v>
      </c>
    </row>
    <row r="729" spans="1:16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 s="7">
        <v>0.25</v>
      </c>
      <c r="L729" t="s">
        <v>18</v>
      </c>
      <c r="M729" t="s">
        <v>22</v>
      </c>
      <c r="N729" t="s">
        <v>50</v>
      </c>
      <c r="O729" s="7">
        <f>الجدول1[[#This Row],[Discount]]*1</f>
        <v>0.25</v>
      </c>
      <c r="P729">
        <f>الجدول1[[#This Row],[Sales_Amount]]*(1-الجدول1[[#This Row],[Discount]])</f>
        <v>6125.9249999999993</v>
      </c>
    </row>
    <row r="730" spans="1:16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 s="7">
        <v>0.02</v>
      </c>
      <c r="L730" t="s">
        <v>31</v>
      </c>
      <c r="M730" t="s">
        <v>19</v>
      </c>
      <c r="N730" t="s">
        <v>28</v>
      </c>
      <c r="O730" s="7">
        <f>الجدول1[[#This Row],[Discount]]*1</f>
        <v>0.02</v>
      </c>
      <c r="P730">
        <f>الجدول1[[#This Row],[Sales_Amount]]*(1-الجدول1[[#This Row],[Discount]])</f>
        <v>7646.4009999999998</v>
      </c>
    </row>
    <row r="731" spans="1:16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 s="7">
        <v>0.18</v>
      </c>
      <c r="L731" t="s">
        <v>31</v>
      </c>
      <c r="M731" t="s">
        <v>22</v>
      </c>
      <c r="N731" t="s">
        <v>46</v>
      </c>
      <c r="O731" s="7">
        <f>الجدول1[[#This Row],[Discount]]*1</f>
        <v>0.18</v>
      </c>
      <c r="P731">
        <f>الجدول1[[#This Row],[Sales_Amount]]*(1-الجدول1[[#This Row],[Discount]])</f>
        <v>6258.5926000000009</v>
      </c>
    </row>
    <row r="732" spans="1:16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 s="7">
        <v>0.11</v>
      </c>
      <c r="L732" t="s">
        <v>27</v>
      </c>
      <c r="M732" t="s">
        <v>22</v>
      </c>
      <c r="N732" t="s">
        <v>46</v>
      </c>
      <c r="O732" s="7">
        <f>الجدول1[[#This Row],[Discount]]*1</f>
        <v>0.11</v>
      </c>
      <c r="P732">
        <f>الجدول1[[#This Row],[Sales_Amount]]*(1-الجدول1[[#This Row],[Discount]])</f>
        <v>1743.0205000000001</v>
      </c>
    </row>
    <row r="733" spans="1:16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 s="7">
        <v>0.24</v>
      </c>
      <c r="L733" t="s">
        <v>18</v>
      </c>
      <c r="M733" t="s">
        <v>19</v>
      </c>
      <c r="N733" t="s">
        <v>53</v>
      </c>
      <c r="O733" s="7">
        <f>الجدول1[[#This Row],[Discount]]*1</f>
        <v>0.24</v>
      </c>
      <c r="P733">
        <f>الجدول1[[#This Row],[Sales_Amount]]*(1-الجدول1[[#This Row],[Discount]])</f>
        <v>741.00760000000002</v>
      </c>
    </row>
    <row r="734" spans="1:16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 s="7">
        <v>0.26</v>
      </c>
      <c r="L734" t="s">
        <v>27</v>
      </c>
      <c r="M734" t="s">
        <v>19</v>
      </c>
      <c r="N734" t="s">
        <v>45</v>
      </c>
      <c r="O734" s="7">
        <f>الجدول1[[#This Row],[Discount]]*1</f>
        <v>0.26</v>
      </c>
      <c r="P734">
        <f>الجدول1[[#This Row],[Sales_Amount]]*(1-الجدول1[[#This Row],[Discount]])</f>
        <v>5194.4966000000004</v>
      </c>
    </row>
    <row r="735" spans="1:16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 s="7">
        <v>0.26</v>
      </c>
      <c r="L735" t="s">
        <v>18</v>
      </c>
      <c r="M735" t="s">
        <v>19</v>
      </c>
      <c r="N735" t="s">
        <v>50</v>
      </c>
      <c r="O735" s="7">
        <f>الجدول1[[#This Row],[Discount]]*1</f>
        <v>0.26</v>
      </c>
      <c r="P735">
        <f>الجدول1[[#This Row],[Sales_Amount]]*(1-الجدول1[[#This Row],[Discount]])</f>
        <v>2772.5135999999998</v>
      </c>
    </row>
    <row r="736" spans="1:16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 s="7">
        <v>0.23</v>
      </c>
      <c r="L736" t="s">
        <v>18</v>
      </c>
      <c r="M736" t="s">
        <v>22</v>
      </c>
      <c r="N736" t="s">
        <v>44</v>
      </c>
      <c r="O736" s="7">
        <f>الجدول1[[#This Row],[Discount]]*1</f>
        <v>0.23</v>
      </c>
      <c r="P736">
        <f>الجدول1[[#This Row],[Sales_Amount]]*(1-الجدول1[[#This Row],[Discount]])</f>
        <v>3372.7770999999998</v>
      </c>
    </row>
    <row r="737" spans="1:16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 s="7">
        <v>0.08</v>
      </c>
      <c r="L737" t="s">
        <v>18</v>
      </c>
      <c r="M737" t="s">
        <v>22</v>
      </c>
      <c r="N737" t="s">
        <v>49</v>
      </c>
      <c r="O737" s="7">
        <f>الجدول1[[#This Row],[Discount]]*1</f>
        <v>0.08</v>
      </c>
      <c r="P737">
        <f>الجدول1[[#This Row],[Sales_Amount]]*(1-الجدول1[[#This Row],[Discount]])</f>
        <v>375.70960000000002</v>
      </c>
    </row>
    <row r="738" spans="1:16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 s="7">
        <v>0.24</v>
      </c>
      <c r="L738" t="s">
        <v>18</v>
      </c>
      <c r="M738" t="s">
        <v>19</v>
      </c>
      <c r="N738" t="s">
        <v>36</v>
      </c>
      <c r="O738" s="7">
        <f>الجدول1[[#This Row],[Discount]]*1</f>
        <v>0.24</v>
      </c>
      <c r="P738">
        <f>الجدول1[[#This Row],[Sales_Amount]]*(1-الجدول1[[#This Row],[Discount]])</f>
        <v>2029.0555999999999</v>
      </c>
    </row>
    <row r="739" spans="1:16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 s="7">
        <v>0.16</v>
      </c>
      <c r="L739" t="s">
        <v>18</v>
      </c>
      <c r="M739" t="s">
        <v>22</v>
      </c>
      <c r="N739" t="s">
        <v>48</v>
      </c>
      <c r="O739" s="7">
        <f>الجدول1[[#This Row],[Discount]]*1</f>
        <v>0.16</v>
      </c>
      <c r="P739">
        <f>الجدول1[[#This Row],[Sales_Amount]]*(1-الجدول1[[#This Row],[Discount]])</f>
        <v>364.05599999999998</v>
      </c>
    </row>
    <row r="740" spans="1:16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 s="7">
        <v>0.02</v>
      </c>
      <c r="L740" t="s">
        <v>31</v>
      </c>
      <c r="M740" t="s">
        <v>19</v>
      </c>
      <c r="N740" t="s">
        <v>47</v>
      </c>
      <c r="O740" s="7">
        <f>الجدول1[[#This Row],[Discount]]*1</f>
        <v>0.02</v>
      </c>
      <c r="P740">
        <f>الجدول1[[#This Row],[Sales_Amount]]*(1-الجدول1[[#This Row],[Discount]])</f>
        <v>8627.8612000000012</v>
      </c>
    </row>
    <row r="741" spans="1:16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 s="7">
        <v>0.14000000000000001</v>
      </c>
      <c r="L741" t="s">
        <v>31</v>
      </c>
      <c r="M741" t="s">
        <v>22</v>
      </c>
      <c r="N741" t="s">
        <v>32</v>
      </c>
      <c r="O741" s="7">
        <f>الجدول1[[#This Row],[Discount]]*1</f>
        <v>0.14000000000000001</v>
      </c>
      <c r="P741">
        <f>الجدول1[[#This Row],[Sales_Amount]]*(1-الجدول1[[#This Row],[Discount]])</f>
        <v>2158.2818000000002</v>
      </c>
    </row>
    <row r="742" spans="1:16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 s="7">
        <v>0.28000000000000003</v>
      </c>
      <c r="L742" t="s">
        <v>18</v>
      </c>
      <c r="M742" t="s">
        <v>19</v>
      </c>
      <c r="N742" t="s">
        <v>41</v>
      </c>
      <c r="O742" s="7">
        <f>الجدول1[[#This Row],[Discount]]*1</f>
        <v>0.28000000000000003</v>
      </c>
      <c r="P742">
        <f>الجدول1[[#This Row],[Sales_Amount]]*(1-الجدول1[[#This Row],[Discount]])</f>
        <v>4044.7008000000001</v>
      </c>
    </row>
    <row r="743" spans="1:16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 s="7">
        <v>0.27</v>
      </c>
      <c r="L743" t="s">
        <v>31</v>
      </c>
      <c r="M743" t="s">
        <v>22</v>
      </c>
      <c r="N743" t="s">
        <v>28</v>
      </c>
      <c r="O743" s="7">
        <f>الجدول1[[#This Row],[Discount]]*1</f>
        <v>0.27</v>
      </c>
      <c r="P743">
        <f>الجدول1[[#This Row],[Sales_Amount]]*(1-الجدول1[[#This Row],[Discount]])</f>
        <v>354.70699999999999</v>
      </c>
    </row>
    <row r="744" spans="1:16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 s="7">
        <v>0.03</v>
      </c>
      <c r="L744" t="s">
        <v>27</v>
      </c>
      <c r="M744" t="s">
        <v>22</v>
      </c>
      <c r="N744" t="s">
        <v>53</v>
      </c>
      <c r="O744" s="7">
        <f>الجدول1[[#This Row],[Discount]]*1</f>
        <v>0.03</v>
      </c>
      <c r="P744">
        <f>الجدول1[[#This Row],[Sales_Amount]]*(1-الجدول1[[#This Row],[Discount]])</f>
        <v>6500.7362999999996</v>
      </c>
    </row>
    <row r="745" spans="1:16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 s="7">
        <v>0.22</v>
      </c>
      <c r="L745" t="s">
        <v>27</v>
      </c>
      <c r="M745" t="s">
        <v>22</v>
      </c>
      <c r="N745" t="s">
        <v>39</v>
      </c>
      <c r="O745" s="7">
        <f>الجدول1[[#This Row],[Discount]]*1</f>
        <v>0.22</v>
      </c>
      <c r="P745">
        <f>الجدول1[[#This Row],[Sales_Amount]]*(1-الجدول1[[#This Row],[Discount]])</f>
        <v>2572.4166</v>
      </c>
    </row>
    <row r="746" spans="1:16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 s="7">
        <v>0.24</v>
      </c>
      <c r="L746" t="s">
        <v>27</v>
      </c>
      <c r="M746" t="s">
        <v>22</v>
      </c>
      <c r="N746" t="s">
        <v>50</v>
      </c>
      <c r="O746" s="7">
        <f>الجدول1[[#This Row],[Discount]]*1</f>
        <v>0.24</v>
      </c>
      <c r="P746">
        <f>الجدول1[[#This Row],[Sales_Amount]]*(1-الجدول1[[#This Row],[Discount]])</f>
        <v>6831.9439999999995</v>
      </c>
    </row>
    <row r="747" spans="1:16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 s="7">
        <v>0.08</v>
      </c>
      <c r="L747" t="s">
        <v>18</v>
      </c>
      <c r="M747" t="s">
        <v>19</v>
      </c>
      <c r="N747" t="s">
        <v>52</v>
      </c>
      <c r="O747" s="7">
        <f>الجدول1[[#This Row],[Discount]]*1</f>
        <v>0.08</v>
      </c>
      <c r="P747">
        <f>الجدول1[[#This Row],[Sales_Amount]]*(1-الجدول1[[#This Row],[Discount]])</f>
        <v>8180.9804000000013</v>
      </c>
    </row>
    <row r="748" spans="1:16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 s="7">
        <v>0.14000000000000001</v>
      </c>
      <c r="L748" t="s">
        <v>18</v>
      </c>
      <c r="M748" t="s">
        <v>22</v>
      </c>
      <c r="N748" t="s">
        <v>43</v>
      </c>
      <c r="O748" s="7">
        <f>الجدول1[[#This Row],[Discount]]*1</f>
        <v>0.14000000000000001</v>
      </c>
      <c r="P748">
        <f>الجدول1[[#This Row],[Sales_Amount]]*(1-الجدول1[[#This Row],[Discount]])</f>
        <v>2855.5268000000001</v>
      </c>
    </row>
    <row r="749" spans="1:16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 s="7">
        <v>0.21</v>
      </c>
      <c r="L749" t="s">
        <v>31</v>
      </c>
      <c r="M749" t="s">
        <v>19</v>
      </c>
      <c r="N749" t="s">
        <v>32</v>
      </c>
      <c r="O749" s="7">
        <f>الجدول1[[#This Row],[Discount]]*1</f>
        <v>0.21</v>
      </c>
      <c r="P749">
        <f>الجدول1[[#This Row],[Sales_Amount]]*(1-الجدول1[[#This Row],[Discount]])</f>
        <v>7125.4129000000003</v>
      </c>
    </row>
    <row r="750" spans="1:16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 s="7">
        <v>0.13</v>
      </c>
      <c r="L750" t="s">
        <v>31</v>
      </c>
      <c r="M750" t="s">
        <v>19</v>
      </c>
      <c r="N750" t="s">
        <v>28</v>
      </c>
      <c r="O750" s="7">
        <f>الجدول1[[#This Row],[Discount]]*1</f>
        <v>0.13</v>
      </c>
      <c r="P750">
        <f>الجدول1[[#This Row],[Sales_Amount]]*(1-الجدول1[[#This Row],[Discount]])</f>
        <v>8666.9051999999992</v>
      </c>
    </row>
    <row r="751" spans="1:16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 s="7">
        <v>0.03</v>
      </c>
      <c r="L751" t="s">
        <v>31</v>
      </c>
      <c r="M751" t="s">
        <v>19</v>
      </c>
      <c r="N751" t="s">
        <v>51</v>
      </c>
      <c r="O751" s="7">
        <f>الجدول1[[#This Row],[Discount]]*1</f>
        <v>0.03</v>
      </c>
      <c r="P751">
        <f>الجدول1[[#This Row],[Sales_Amount]]*(1-الجدول1[[#This Row],[Discount]])</f>
        <v>8023.4714000000004</v>
      </c>
    </row>
    <row r="752" spans="1:16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 s="7">
        <v>0.21</v>
      </c>
      <c r="L752" t="s">
        <v>27</v>
      </c>
      <c r="M752" t="s">
        <v>19</v>
      </c>
      <c r="N752" t="s">
        <v>44</v>
      </c>
      <c r="O752" s="7">
        <f>الجدول1[[#This Row],[Discount]]*1</f>
        <v>0.21</v>
      </c>
      <c r="P752">
        <f>الجدول1[[#This Row],[Sales_Amount]]*(1-الجدول1[[#This Row],[Discount]])</f>
        <v>6686.7416999999996</v>
      </c>
    </row>
    <row r="753" spans="1:16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 s="7">
        <v>0.27</v>
      </c>
      <c r="L753" t="s">
        <v>27</v>
      </c>
      <c r="M753" t="s">
        <v>22</v>
      </c>
      <c r="N753" t="s">
        <v>45</v>
      </c>
      <c r="O753" s="7">
        <f>الجدول1[[#This Row],[Discount]]*1</f>
        <v>0.27</v>
      </c>
      <c r="P753">
        <f>الجدول1[[#This Row],[Sales_Amount]]*(1-الجدول1[[#This Row],[Discount]])</f>
        <v>1872.5887</v>
      </c>
    </row>
    <row r="754" spans="1:16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 s="7">
        <v>0.2</v>
      </c>
      <c r="L754" t="s">
        <v>27</v>
      </c>
      <c r="M754" t="s">
        <v>19</v>
      </c>
      <c r="N754" t="s">
        <v>37</v>
      </c>
      <c r="O754" s="7">
        <f>الجدول1[[#This Row],[Discount]]*1</f>
        <v>0.2</v>
      </c>
      <c r="P754">
        <f>الجدول1[[#This Row],[Sales_Amount]]*(1-الجدول1[[#This Row],[Discount]])</f>
        <v>4647.4800000000005</v>
      </c>
    </row>
    <row r="755" spans="1:16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 s="7">
        <v>0.23</v>
      </c>
      <c r="L755" t="s">
        <v>27</v>
      </c>
      <c r="M755" t="s">
        <v>22</v>
      </c>
      <c r="N755" t="s">
        <v>37</v>
      </c>
      <c r="O755" s="7">
        <f>الجدول1[[#This Row],[Discount]]*1</f>
        <v>0.23</v>
      </c>
      <c r="P755">
        <f>الجدول1[[#This Row],[Sales_Amount]]*(1-الجدول1[[#This Row],[Discount]])</f>
        <v>589.68910000000005</v>
      </c>
    </row>
    <row r="756" spans="1:16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 s="7">
        <v>0.11</v>
      </c>
      <c r="L756" t="s">
        <v>31</v>
      </c>
      <c r="M756" t="s">
        <v>22</v>
      </c>
      <c r="N756" t="s">
        <v>43</v>
      </c>
      <c r="O756" s="7">
        <f>الجدول1[[#This Row],[Discount]]*1</f>
        <v>0.11</v>
      </c>
      <c r="P756">
        <f>الجدول1[[#This Row],[Sales_Amount]]*(1-الجدول1[[#This Row],[Discount]])</f>
        <v>925.32410000000004</v>
      </c>
    </row>
    <row r="757" spans="1:16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 s="7">
        <v>0.05</v>
      </c>
      <c r="L757" t="s">
        <v>18</v>
      </c>
      <c r="M757" t="s">
        <v>22</v>
      </c>
      <c r="N757" t="s">
        <v>45</v>
      </c>
      <c r="O757" s="7">
        <f>الجدول1[[#This Row],[Discount]]*1</f>
        <v>0.05</v>
      </c>
      <c r="P757">
        <f>الجدول1[[#This Row],[Sales_Amount]]*(1-الجدول1[[#This Row],[Discount]])</f>
        <v>9489.5879999999997</v>
      </c>
    </row>
    <row r="758" spans="1:16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 s="7">
        <v>0.19</v>
      </c>
      <c r="L758" t="s">
        <v>18</v>
      </c>
      <c r="M758" t="s">
        <v>22</v>
      </c>
      <c r="N758" t="s">
        <v>41</v>
      </c>
      <c r="O758" s="7">
        <f>الجدول1[[#This Row],[Discount]]*1</f>
        <v>0.19</v>
      </c>
      <c r="P758">
        <f>الجدول1[[#This Row],[Sales_Amount]]*(1-الجدول1[[#This Row],[Discount]])</f>
        <v>2700.3213000000001</v>
      </c>
    </row>
    <row r="759" spans="1:16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 s="7">
        <v>0.1</v>
      </c>
      <c r="L759" t="s">
        <v>27</v>
      </c>
      <c r="M759" t="s">
        <v>19</v>
      </c>
      <c r="N759" t="s">
        <v>52</v>
      </c>
      <c r="O759" s="7">
        <f>الجدول1[[#This Row],[Discount]]*1</f>
        <v>0.1</v>
      </c>
      <c r="P759">
        <f>الجدول1[[#This Row],[Sales_Amount]]*(1-الجدول1[[#This Row],[Discount]])</f>
        <v>6756.3180000000002</v>
      </c>
    </row>
    <row r="760" spans="1:16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 s="7">
        <v>0.26</v>
      </c>
      <c r="L760" t="s">
        <v>18</v>
      </c>
      <c r="M760" t="s">
        <v>22</v>
      </c>
      <c r="N760" t="s">
        <v>51</v>
      </c>
      <c r="O760" s="7">
        <f>الجدول1[[#This Row],[Discount]]*1</f>
        <v>0.26</v>
      </c>
      <c r="P760">
        <f>الجدول1[[#This Row],[Sales_Amount]]*(1-الجدول1[[#This Row],[Discount]])</f>
        <v>5983.6251999999995</v>
      </c>
    </row>
    <row r="761" spans="1:16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 s="7">
        <v>0.04</v>
      </c>
      <c r="L761" t="s">
        <v>18</v>
      </c>
      <c r="M761" t="s">
        <v>19</v>
      </c>
      <c r="N761" t="s">
        <v>28</v>
      </c>
      <c r="O761" s="7">
        <f>الجدول1[[#This Row],[Discount]]*1</f>
        <v>0.04</v>
      </c>
      <c r="P761">
        <f>الجدول1[[#This Row],[Sales_Amount]]*(1-الجدول1[[#This Row],[Discount]])</f>
        <v>8250.6527999999998</v>
      </c>
    </row>
    <row r="762" spans="1:16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 s="7">
        <v>0.13</v>
      </c>
      <c r="L762" t="s">
        <v>18</v>
      </c>
      <c r="M762" t="s">
        <v>22</v>
      </c>
      <c r="N762" t="s">
        <v>45</v>
      </c>
      <c r="O762" s="7">
        <f>الجدول1[[#This Row],[Discount]]*1</f>
        <v>0.13</v>
      </c>
      <c r="P762">
        <f>الجدول1[[#This Row],[Sales_Amount]]*(1-الجدول1[[#This Row],[Discount]])</f>
        <v>8679.5724000000009</v>
      </c>
    </row>
    <row r="763" spans="1:16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 s="7">
        <v>0.12</v>
      </c>
      <c r="L763" t="s">
        <v>27</v>
      </c>
      <c r="M763" t="s">
        <v>22</v>
      </c>
      <c r="N763" t="s">
        <v>44</v>
      </c>
      <c r="O763" s="7">
        <f>الجدول1[[#This Row],[Discount]]*1</f>
        <v>0.12</v>
      </c>
      <c r="P763">
        <f>الجدول1[[#This Row],[Sales_Amount]]*(1-الجدول1[[#This Row],[Discount]])</f>
        <v>2191.9216000000001</v>
      </c>
    </row>
    <row r="764" spans="1:16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 s="7">
        <v>0.28000000000000003</v>
      </c>
      <c r="L764" t="s">
        <v>31</v>
      </c>
      <c r="M764" t="s">
        <v>19</v>
      </c>
      <c r="N764" t="s">
        <v>50</v>
      </c>
      <c r="O764" s="7">
        <f>الجدول1[[#This Row],[Discount]]*1</f>
        <v>0.28000000000000003</v>
      </c>
      <c r="P764">
        <f>الجدول1[[#This Row],[Sales_Amount]]*(1-الجدول1[[#This Row],[Discount]])</f>
        <v>359.61840000000001</v>
      </c>
    </row>
    <row r="765" spans="1:16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 s="7">
        <v>0.05</v>
      </c>
      <c r="L765" t="s">
        <v>31</v>
      </c>
      <c r="M765" t="s">
        <v>22</v>
      </c>
      <c r="N765" t="s">
        <v>36</v>
      </c>
      <c r="O765" s="7">
        <f>الجدول1[[#This Row],[Discount]]*1</f>
        <v>0.05</v>
      </c>
      <c r="P765">
        <f>الجدول1[[#This Row],[Sales_Amount]]*(1-الجدول1[[#This Row],[Discount]])</f>
        <v>3962.2599999999998</v>
      </c>
    </row>
    <row r="766" spans="1:16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 s="7">
        <v>0</v>
      </c>
      <c r="L766" t="s">
        <v>18</v>
      </c>
      <c r="M766" t="s">
        <v>22</v>
      </c>
      <c r="N766" t="s">
        <v>52</v>
      </c>
      <c r="O766" s="7">
        <f>الجدول1[[#This Row],[Discount]]*1</f>
        <v>0</v>
      </c>
      <c r="P766">
        <f>الجدول1[[#This Row],[Sales_Amount]]*(1-الجدول1[[#This Row],[Discount]])</f>
        <v>1387.8</v>
      </c>
    </row>
    <row r="767" spans="1:16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 s="7">
        <v>7.0000000000000007E-2</v>
      </c>
      <c r="L767" t="s">
        <v>31</v>
      </c>
      <c r="M767" t="s">
        <v>22</v>
      </c>
      <c r="N767" t="s">
        <v>32</v>
      </c>
      <c r="O767" s="7">
        <f>الجدول1[[#This Row],[Discount]]*1</f>
        <v>7.0000000000000007E-2</v>
      </c>
      <c r="P767">
        <f>الجدول1[[#This Row],[Sales_Amount]]*(1-الجدول1[[#This Row],[Discount]])</f>
        <v>299.47859999999997</v>
      </c>
    </row>
    <row r="768" spans="1:16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 s="7">
        <v>0.25</v>
      </c>
      <c r="L768" t="s">
        <v>31</v>
      </c>
      <c r="M768" t="s">
        <v>22</v>
      </c>
      <c r="N768" t="s">
        <v>41</v>
      </c>
      <c r="O768" s="7">
        <f>الجدول1[[#This Row],[Discount]]*1</f>
        <v>0.25</v>
      </c>
      <c r="P768">
        <f>الجدول1[[#This Row],[Sales_Amount]]*(1-الجدول1[[#This Row],[Discount]])</f>
        <v>2751.1725000000001</v>
      </c>
    </row>
    <row r="769" spans="1:16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 s="7">
        <v>0.06</v>
      </c>
      <c r="L769" t="s">
        <v>27</v>
      </c>
      <c r="M769" t="s">
        <v>22</v>
      </c>
      <c r="N769" t="s">
        <v>43</v>
      </c>
      <c r="O769" s="7">
        <f>الجدول1[[#This Row],[Discount]]*1</f>
        <v>0.06</v>
      </c>
      <c r="P769">
        <f>الجدول1[[#This Row],[Sales_Amount]]*(1-الجدول1[[#This Row],[Discount]])</f>
        <v>7387.4694</v>
      </c>
    </row>
    <row r="770" spans="1:16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 s="7">
        <v>7.0000000000000007E-2</v>
      </c>
      <c r="L770" t="s">
        <v>27</v>
      </c>
      <c r="M770" t="s">
        <v>19</v>
      </c>
      <c r="N770" t="s">
        <v>45</v>
      </c>
      <c r="O770" s="7">
        <f>الجدول1[[#This Row],[Discount]]*1</f>
        <v>7.0000000000000007E-2</v>
      </c>
      <c r="P770">
        <f>الجدول1[[#This Row],[Sales_Amount]]*(1-الجدول1[[#This Row],[Discount]])</f>
        <v>5305.8266999999996</v>
      </c>
    </row>
    <row r="771" spans="1:16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 s="7">
        <v>0.04</v>
      </c>
      <c r="L771" t="s">
        <v>18</v>
      </c>
      <c r="M771" t="s">
        <v>22</v>
      </c>
      <c r="N771" t="s">
        <v>41</v>
      </c>
      <c r="O771" s="7">
        <f>الجدول1[[#This Row],[Discount]]*1</f>
        <v>0.04</v>
      </c>
      <c r="P771">
        <f>الجدول1[[#This Row],[Sales_Amount]]*(1-الجدول1[[#This Row],[Discount]])</f>
        <v>3068.64</v>
      </c>
    </row>
    <row r="772" spans="1:16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 s="7">
        <v>0.21</v>
      </c>
      <c r="L772" t="s">
        <v>18</v>
      </c>
      <c r="M772" t="s">
        <v>22</v>
      </c>
      <c r="N772" t="s">
        <v>46</v>
      </c>
      <c r="O772" s="7">
        <f>الجدول1[[#This Row],[Discount]]*1</f>
        <v>0.21</v>
      </c>
      <c r="P772">
        <f>الجدول1[[#This Row],[Sales_Amount]]*(1-الجدول1[[#This Row],[Discount]])</f>
        <v>5196.6121000000003</v>
      </c>
    </row>
    <row r="773" spans="1:16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 s="7">
        <v>0.02</v>
      </c>
      <c r="L773" t="s">
        <v>18</v>
      </c>
      <c r="M773" t="s">
        <v>19</v>
      </c>
      <c r="N773" t="s">
        <v>32</v>
      </c>
      <c r="O773" s="7">
        <f>الجدول1[[#This Row],[Discount]]*1</f>
        <v>0.02</v>
      </c>
      <c r="P773">
        <f>الجدول1[[#This Row],[Sales_Amount]]*(1-الجدول1[[#This Row],[Discount]])</f>
        <v>2349.0403999999999</v>
      </c>
    </row>
    <row r="774" spans="1:16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 s="7">
        <v>0.1</v>
      </c>
      <c r="L774" t="s">
        <v>27</v>
      </c>
      <c r="M774" t="s">
        <v>22</v>
      </c>
      <c r="N774" t="s">
        <v>36</v>
      </c>
      <c r="O774" s="7">
        <f>الجدول1[[#This Row],[Discount]]*1</f>
        <v>0.1</v>
      </c>
      <c r="P774">
        <f>الجدول1[[#This Row],[Sales_Amount]]*(1-الجدول1[[#This Row],[Discount]])</f>
        <v>218.142</v>
      </c>
    </row>
    <row r="775" spans="1:16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 s="7">
        <v>0.08</v>
      </c>
      <c r="L775" t="s">
        <v>31</v>
      </c>
      <c r="M775" t="s">
        <v>19</v>
      </c>
      <c r="N775" t="s">
        <v>48</v>
      </c>
      <c r="O775" s="7">
        <f>الجدول1[[#This Row],[Discount]]*1</f>
        <v>0.08</v>
      </c>
      <c r="P775">
        <f>الجدول1[[#This Row],[Sales_Amount]]*(1-الجدول1[[#This Row],[Discount]])</f>
        <v>7053.7320000000009</v>
      </c>
    </row>
    <row r="776" spans="1:16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 s="7">
        <v>0.17</v>
      </c>
      <c r="L776" t="s">
        <v>27</v>
      </c>
      <c r="M776" t="s">
        <v>22</v>
      </c>
      <c r="N776" t="s">
        <v>53</v>
      </c>
      <c r="O776" s="7">
        <f>الجدول1[[#This Row],[Discount]]*1</f>
        <v>0.17</v>
      </c>
      <c r="P776">
        <f>الجدول1[[#This Row],[Sales_Amount]]*(1-الجدول1[[#This Row],[Discount]])</f>
        <v>5208.2997999999998</v>
      </c>
    </row>
    <row r="777" spans="1:16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 s="7">
        <v>0.22</v>
      </c>
      <c r="L777" t="s">
        <v>27</v>
      </c>
      <c r="M777" t="s">
        <v>22</v>
      </c>
      <c r="N777" t="s">
        <v>51</v>
      </c>
      <c r="O777" s="7">
        <f>الجدول1[[#This Row],[Discount]]*1</f>
        <v>0.22</v>
      </c>
      <c r="P777">
        <f>الجدول1[[#This Row],[Sales_Amount]]*(1-الجدول1[[#This Row],[Discount]])</f>
        <v>5964.5039999999999</v>
      </c>
    </row>
    <row r="778" spans="1:16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 s="7">
        <v>0.16</v>
      </c>
      <c r="L778" t="s">
        <v>31</v>
      </c>
      <c r="M778" t="s">
        <v>19</v>
      </c>
      <c r="N778" t="s">
        <v>40</v>
      </c>
      <c r="O778" s="7">
        <f>الجدول1[[#This Row],[Discount]]*1</f>
        <v>0.16</v>
      </c>
      <c r="P778">
        <f>الجدول1[[#This Row],[Sales_Amount]]*(1-الجدول1[[#This Row],[Discount]])</f>
        <v>407.8116</v>
      </c>
    </row>
    <row r="779" spans="1:16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 s="7">
        <v>0.28000000000000003</v>
      </c>
      <c r="L779" t="s">
        <v>31</v>
      </c>
      <c r="M779" t="s">
        <v>22</v>
      </c>
      <c r="N779" t="s">
        <v>49</v>
      </c>
      <c r="O779" s="7">
        <f>الجدول1[[#This Row],[Discount]]*1</f>
        <v>0.28000000000000003</v>
      </c>
      <c r="P779">
        <f>الجدول1[[#This Row],[Sales_Amount]]*(1-الجدول1[[#This Row],[Discount]])</f>
        <v>6038.9855999999991</v>
      </c>
    </row>
    <row r="780" spans="1:16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 s="7">
        <v>0.28999999999999998</v>
      </c>
      <c r="L780" t="s">
        <v>18</v>
      </c>
      <c r="M780" t="s">
        <v>22</v>
      </c>
      <c r="N780" t="s">
        <v>53</v>
      </c>
      <c r="O780" s="7">
        <f>الجدول1[[#This Row],[Discount]]*1</f>
        <v>0.28999999999999998</v>
      </c>
      <c r="P780">
        <f>الجدول1[[#This Row],[Sales_Amount]]*(1-الجدول1[[#This Row],[Discount]])</f>
        <v>4425.6500999999998</v>
      </c>
    </row>
    <row r="781" spans="1:16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 s="7">
        <v>0.11</v>
      </c>
      <c r="L781" t="s">
        <v>31</v>
      </c>
      <c r="M781" t="s">
        <v>19</v>
      </c>
      <c r="N781" t="s">
        <v>48</v>
      </c>
      <c r="O781" s="7">
        <f>الجدول1[[#This Row],[Discount]]*1</f>
        <v>0.11</v>
      </c>
      <c r="P781">
        <f>الجدول1[[#This Row],[Sales_Amount]]*(1-الجدول1[[#This Row],[Discount]])</f>
        <v>5053.0729000000001</v>
      </c>
    </row>
    <row r="782" spans="1:16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 s="7">
        <v>0.23</v>
      </c>
      <c r="L782" t="s">
        <v>31</v>
      </c>
      <c r="M782" t="s">
        <v>19</v>
      </c>
      <c r="N782" t="s">
        <v>53</v>
      </c>
      <c r="O782" s="7">
        <f>الجدول1[[#This Row],[Discount]]*1</f>
        <v>0.23</v>
      </c>
      <c r="P782">
        <f>الجدول1[[#This Row],[Sales_Amount]]*(1-الجدول1[[#This Row],[Discount]])</f>
        <v>4838.4336000000003</v>
      </c>
    </row>
    <row r="783" spans="1:16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 s="7">
        <v>0.22</v>
      </c>
      <c r="L783" t="s">
        <v>31</v>
      </c>
      <c r="M783" t="s">
        <v>22</v>
      </c>
      <c r="N783" t="s">
        <v>40</v>
      </c>
      <c r="O783" s="7">
        <f>الجدول1[[#This Row],[Discount]]*1</f>
        <v>0.22</v>
      </c>
      <c r="P783">
        <f>الجدول1[[#This Row],[Sales_Amount]]*(1-الجدول1[[#This Row],[Discount]])</f>
        <v>6753.1541999999999</v>
      </c>
    </row>
    <row r="784" spans="1:16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 s="7">
        <v>0.27</v>
      </c>
      <c r="L784" t="s">
        <v>31</v>
      </c>
      <c r="M784" t="s">
        <v>19</v>
      </c>
      <c r="N784" t="s">
        <v>37</v>
      </c>
      <c r="O784" s="7">
        <f>الجدول1[[#This Row],[Discount]]*1</f>
        <v>0.27</v>
      </c>
      <c r="P784">
        <f>الجدول1[[#This Row],[Sales_Amount]]*(1-الجدول1[[#This Row],[Discount]])</f>
        <v>4314.7891</v>
      </c>
    </row>
    <row r="785" spans="1:16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 s="7">
        <v>0.13</v>
      </c>
      <c r="L785" t="s">
        <v>18</v>
      </c>
      <c r="M785" t="s">
        <v>22</v>
      </c>
      <c r="N785" t="s">
        <v>23</v>
      </c>
      <c r="O785" s="7">
        <f>الجدول1[[#This Row],[Discount]]*1</f>
        <v>0.13</v>
      </c>
      <c r="P785">
        <f>الجدول1[[#This Row],[Sales_Amount]]*(1-الجدول1[[#This Row],[Discount]])</f>
        <v>5090.7267000000002</v>
      </c>
    </row>
    <row r="786" spans="1:16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 s="7">
        <v>0.16</v>
      </c>
      <c r="L786" t="s">
        <v>18</v>
      </c>
      <c r="M786" t="s">
        <v>19</v>
      </c>
      <c r="N786" t="s">
        <v>53</v>
      </c>
      <c r="O786" s="7">
        <f>الجدول1[[#This Row],[Discount]]*1</f>
        <v>0.16</v>
      </c>
      <c r="P786">
        <f>الجدول1[[#This Row],[Sales_Amount]]*(1-الجدول1[[#This Row],[Discount]])</f>
        <v>8322.4847999999984</v>
      </c>
    </row>
    <row r="787" spans="1:16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 s="7">
        <v>0.12</v>
      </c>
      <c r="L787" t="s">
        <v>31</v>
      </c>
      <c r="M787" t="s">
        <v>22</v>
      </c>
      <c r="N787" t="s">
        <v>23</v>
      </c>
      <c r="O787" s="7">
        <f>الجدول1[[#This Row],[Discount]]*1</f>
        <v>0.12</v>
      </c>
      <c r="P787">
        <f>الجدول1[[#This Row],[Sales_Amount]]*(1-الجدول1[[#This Row],[Discount]])</f>
        <v>6680.6343999999999</v>
      </c>
    </row>
    <row r="788" spans="1:16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 s="7">
        <v>0.26</v>
      </c>
      <c r="L788" t="s">
        <v>31</v>
      </c>
      <c r="M788" t="s">
        <v>19</v>
      </c>
      <c r="N788" t="s">
        <v>37</v>
      </c>
      <c r="O788" s="7">
        <f>الجدول1[[#This Row],[Discount]]*1</f>
        <v>0.26</v>
      </c>
      <c r="P788">
        <f>الجدول1[[#This Row],[Sales_Amount]]*(1-الجدول1[[#This Row],[Discount]])</f>
        <v>3314.2453999999998</v>
      </c>
    </row>
    <row r="789" spans="1:16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 s="7">
        <v>7.0000000000000007E-2</v>
      </c>
      <c r="L789" t="s">
        <v>18</v>
      </c>
      <c r="M789" t="s">
        <v>19</v>
      </c>
      <c r="N789" t="s">
        <v>40</v>
      </c>
      <c r="O789" s="7">
        <f>الجدول1[[#This Row],[Discount]]*1</f>
        <v>7.0000000000000007E-2</v>
      </c>
      <c r="P789">
        <f>الجدول1[[#This Row],[Sales_Amount]]*(1-الجدول1[[#This Row],[Discount]])</f>
        <v>6606.0038999999988</v>
      </c>
    </row>
    <row r="790" spans="1:16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 s="7">
        <v>7.0000000000000007E-2</v>
      </c>
      <c r="L790" t="s">
        <v>18</v>
      </c>
      <c r="M790" t="s">
        <v>19</v>
      </c>
      <c r="N790" t="s">
        <v>48</v>
      </c>
      <c r="O790" s="7">
        <f>الجدول1[[#This Row],[Discount]]*1</f>
        <v>7.0000000000000007E-2</v>
      </c>
      <c r="P790">
        <f>الجدول1[[#This Row],[Sales_Amount]]*(1-الجدول1[[#This Row],[Discount]])</f>
        <v>3676.6433999999999</v>
      </c>
    </row>
    <row r="791" spans="1:16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 s="7">
        <v>0.11</v>
      </c>
      <c r="L791" t="s">
        <v>31</v>
      </c>
      <c r="M791" t="s">
        <v>19</v>
      </c>
      <c r="N791" t="s">
        <v>40</v>
      </c>
      <c r="O791" s="7">
        <f>الجدول1[[#This Row],[Discount]]*1</f>
        <v>0.11</v>
      </c>
      <c r="P791">
        <f>الجدول1[[#This Row],[Sales_Amount]]*(1-الجدول1[[#This Row],[Discount]])</f>
        <v>2105.6242999999999</v>
      </c>
    </row>
    <row r="792" spans="1:16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 s="7">
        <v>7.0000000000000007E-2</v>
      </c>
      <c r="L792" t="s">
        <v>27</v>
      </c>
      <c r="M792" t="s">
        <v>19</v>
      </c>
      <c r="N792" t="s">
        <v>47</v>
      </c>
      <c r="O792" s="7">
        <f>الجدول1[[#This Row],[Discount]]*1</f>
        <v>7.0000000000000007E-2</v>
      </c>
      <c r="P792">
        <f>الجدول1[[#This Row],[Sales_Amount]]*(1-الجدول1[[#This Row],[Discount]])</f>
        <v>5588.2118999999993</v>
      </c>
    </row>
    <row r="793" spans="1:16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 s="7">
        <v>0.17</v>
      </c>
      <c r="L793" t="s">
        <v>18</v>
      </c>
      <c r="M793" t="s">
        <v>19</v>
      </c>
      <c r="N793" t="s">
        <v>52</v>
      </c>
      <c r="O793" s="7">
        <f>الجدول1[[#This Row],[Discount]]*1</f>
        <v>0.17</v>
      </c>
      <c r="P793">
        <f>الجدول1[[#This Row],[Sales_Amount]]*(1-الجدول1[[#This Row],[Discount]])</f>
        <v>7709.87</v>
      </c>
    </row>
    <row r="794" spans="1:16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 s="7">
        <v>0.04</v>
      </c>
      <c r="L794" t="s">
        <v>18</v>
      </c>
      <c r="M794" t="s">
        <v>19</v>
      </c>
      <c r="N794" t="s">
        <v>39</v>
      </c>
      <c r="O794" s="7">
        <f>الجدول1[[#This Row],[Discount]]*1</f>
        <v>0.04</v>
      </c>
      <c r="P794">
        <f>الجدول1[[#This Row],[Sales_Amount]]*(1-الجدول1[[#This Row],[Discount]])</f>
        <v>8926.5407999999989</v>
      </c>
    </row>
    <row r="795" spans="1:16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 s="7">
        <v>0.1</v>
      </c>
      <c r="L795" t="s">
        <v>18</v>
      </c>
      <c r="M795" t="s">
        <v>19</v>
      </c>
      <c r="N795" t="s">
        <v>46</v>
      </c>
      <c r="O795" s="7">
        <f>الجدول1[[#This Row],[Discount]]*1</f>
        <v>0.1</v>
      </c>
      <c r="P795">
        <f>الجدول1[[#This Row],[Sales_Amount]]*(1-الجدول1[[#This Row],[Discount]])</f>
        <v>3136.3740000000003</v>
      </c>
    </row>
    <row r="796" spans="1:16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 s="7">
        <v>0.27</v>
      </c>
      <c r="L796" t="s">
        <v>31</v>
      </c>
      <c r="M796" t="s">
        <v>19</v>
      </c>
      <c r="N796" t="s">
        <v>41</v>
      </c>
      <c r="O796" s="7">
        <f>الجدول1[[#This Row],[Discount]]*1</f>
        <v>0.27</v>
      </c>
      <c r="P796">
        <f>الجدول1[[#This Row],[Sales_Amount]]*(1-الجدول1[[#This Row],[Discount]])</f>
        <v>3886.5273000000002</v>
      </c>
    </row>
    <row r="797" spans="1:16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 s="7">
        <v>0.12</v>
      </c>
      <c r="L797" t="s">
        <v>31</v>
      </c>
      <c r="M797" t="s">
        <v>22</v>
      </c>
      <c r="N797" t="s">
        <v>50</v>
      </c>
      <c r="O797" s="7">
        <f>الجدول1[[#This Row],[Discount]]*1</f>
        <v>0.12</v>
      </c>
      <c r="P797">
        <f>الجدول1[[#This Row],[Sales_Amount]]*(1-الجدول1[[#This Row],[Discount]])</f>
        <v>1931.7759999999998</v>
      </c>
    </row>
    <row r="798" spans="1:16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 s="7">
        <v>0.22</v>
      </c>
      <c r="L798" t="s">
        <v>18</v>
      </c>
      <c r="M798" t="s">
        <v>19</v>
      </c>
      <c r="N798" t="s">
        <v>20</v>
      </c>
      <c r="O798" s="7">
        <f>الجدول1[[#This Row],[Discount]]*1</f>
        <v>0.22</v>
      </c>
      <c r="P798">
        <f>الجدول1[[#This Row],[Sales_Amount]]*(1-الجدول1[[#This Row],[Discount]])</f>
        <v>7766.2650000000003</v>
      </c>
    </row>
    <row r="799" spans="1:16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 s="7">
        <v>0.03</v>
      </c>
      <c r="L799" t="s">
        <v>31</v>
      </c>
      <c r="M799" t="s">
        <v>22</v>
      </c>
      <c r="N799" t="s">
        <v>28</v>
      </c>
      <c r="O799" s="7">
        <f>الجدول1[[#This Row],[Discount]]*1</f>
        <v>0.03</v>
      </c>
      <c r="P799">
        <f>الجدول1[[#This Row],[Sales_Amount]]*(1-الجدول1[[#This Row],[Discount]])</f>
        <v>9518.6778999999988</v>
      </c>
    </row>
    <row r="800" spans="1:16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 s="7">
        <v>7.0000000000000007E-2</v>
      </c>
      <c r="L800" t="s">
        <v>31</v>
      </c>
      <c r="M800" t="s">
        <v>19</v>
      </c>
      <c r="N800" t="s">
        <v>32</v>
      </c>
      <c r="O800" s="7">
        <f>الجدول1[[#This Row],[Discount]]*1</f>
        <v>7.0000000000000007E-2</v>
      </c>
      <c r="P800">
        <f>الجدول1[[#This Row],[Sales_Amount]]*(1-الجدول1[[#This Row],[Discount]])</f>
        <v>6073.0302000000001</v>
      </c>
    </row>
    <row r="801" spans="1:16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 s="7">
        <v>0.24</v>
      </c>
      <c r="L801" t="s">
        <v>18</v>
      </c>
      <c r="M801" t="s">
        <v>22</v>
      </c>
      <c r="N801" t="s">
        <v>44</v>
      </c>
      <c r="O801" s="7">
        <f>الجدول1[[#This Row],[Discount]]*1</f>
        <v>0.24</v>
      </c>
      <c r="P801">
        <f>الجدول1[[#This Row],[Sales_Amount]]*(1-الجدول1[[#This Row],[Discount]])</f>
        <v>6128.4120000000003</v>
      </c>
    </row>
    <row r="802" spans="1:16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 s="7">
        <v>0.23</v>
      </c>
      <c r="L802" t="s">
        <v>31</v>
      </c>
      <c r="M802" t="s">
        <v>22</v>
      </c>
      <c r="N802" t="s">
        <v>51</v>
      </c>
      <c r="O802" s="7">
        <f>الجدول1[[#This Row],[Discount]]*1</f>
        <v>0.23</v>
      </c>
      <c r="P802">
        <f>الجدول1[[#This Row],[Sales_Amount]]*(1-الجدول1[[#This Row],[Discount]])</f>
        <v>5528.2073</v>
      </c>
    </row>
    <row r="803" spans="1:16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 s="7">
        <v>0.12</v>
      </c>
      <c r="L803" t="s">
        <v>27</v>
      </c>
      <c r="M803" t="s">
        <v>19</v>
      </c>
      <c r="N803" t="s">
        <v>51</v>
      </c>
      <c r="O803" s="7">
        <f>الجدول1[[#This Row],[Discount]]*1</f>
        <v>0.12</v>
      </c>
      <c r="P803">
        <f>الجدول1[[#This Row],[Sales_Amount]]*(1-الجدول1[[#This Row],[Discount]])</f>
        <v>5255.5976000000001</v>
      </c>
    </row>
    <row r="804" spans="1:16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 s="7">
        <v>0.28999999999999998</v>
      </c>
      <c r="L804" t="s">
        <v>31</v>
      </c>
      <c r="M804" t="s">
        <v>19</v>
      </c>
      <c r="N804" t="s">
        <v>28</v>
      </c>
      <c r="O804" s="7">
        <f>الجدول1[[#This Row],[Discount]]*1</f>
        <v>0.28999999999999998</v>
      </c>
      <c r="P804">
        <f>الجدول1[[#This Row],[Sales_Amount]]*(1-الجدول1[[#This Row],[Discount]])</f>
        <v>445.98649999999998</v>
      </c>
    </row>
    <row r="805" spans="1:16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 s="7">
        <v>0.27</v>
      </c>
      <c r="L805" t="s">
        <v>31</v>
      </c>
      <c r="M805" t="s">
        <v>22</v>
      </c>
      <c r="N805" t="s">
        <v>52</v>
      </c>
      <c r="O805" s="7">
        <f>الجدول1[[#This Row],[Discount]]*1</f>
        <v>0.27</v>
      </c>
      <c r="P805">
        <f>الجدول1[[#This Row],[Sales_Amount]]*(1-الجدول1[[#This Row],[Discount]])</f>
        <v>3359.5841</v>
      </c>
    </row>
    <row r="806" spans="1:16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 s="7">
        <v>0.28999999999999998</v>
      </c>
      <c r="L806" t="s">
        <v>18</v>
      </c>
      <c r="M806" t="s">
        <v>22</v>
      </c>
      <c r="N806" t="s">
        <v>28</v>
      </c>
      <c r="O806" s="7">
        <f>الجدول1[[#This Row],[Discount]]*1</f>
        <v>0.28999999999999998</v>
      </c>
      <c r="P806">
        <f>الجدول1[[#This Row],[Sales_Amount]]*(1-الجدول1[[#This Row],[Discount]])</f>
        <v>4814.0698000000002</v>
      </c>
    </row>
    <row r="807" spans="1:16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 s="7">
        <v>0.13</v>
      </c>
      <c r="L807" t="s">
        <v>18</v>
      </c>
      <c r="M807" t="s">
        <v>19</v>
      </c>
      <c r="N807" t="s">
        <v>50</v>
      </c>
      <c r="O807" s="7">
        <f>الجدول1[[#This Row],[Discount]]*1</f>
        <v>0.13</v>
      </c>
      <c r="P807">
        <f>الجدول1[[#This Row],[Sales_Amount]]*(1-الجدول1[[#This Row],[Discount]])</f>
        <v>5922.5772000000006</v>
      </c>
    </row>
    <row r="808" spans="1:16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 s="7">
        <v>0.06</v>
      </c>
      <c r="L808" t="s">
        <v>27</v>
      </c>
      <c r="M808" t="s">
        <v>19</v>
      </c>
      <c r="N808" t="s">
        <v>50</v>
      </c>
      <c r="O808" s="7">
        <f>الجدول1[[#This Row],[Discount]]*1</f>
        <v>0.06</v>
      </c>
      <c r="P808">
        <f>الجدول1[[#This Row],[Sales_Amount]]*(1-الجدول1[[#This Row],[Discount]])</f>
        <v>3566.2753999999995</v>
      </c>
    </row>
    <row r="809" spans="1:16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 s="7">
        <v>0.19</v>
      </c>
      <c r="L809" t="s">
        <v>31</v>
      </c>
      <c r="M809" t="s">
        <v>19</v>
      </c>
      <c r="N809" t="s">
        <v>51</v>
      </c>
      <c r="O809" s="7">
        <f>الجدول1[[#This Row],[Discount]]*1</f>
        <v>0.19</v>
      </c>
      <c r="P809">
        <f>الجدول1[[#This Row],[Sales_Amount]]*(1-الجدول1[[#This Row],[Discount]])</f>
        <v>7632.4275000000007</v>
      </c>
    </row>
    <row r="810" spans="1:16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 s="7">
        <v>0.21</v>
      </c>
      <c r="L810" t="s">
        <v>27</v>
      </c>
      <c r="M810" t="s">
        <v>22</v>
      </c>
      <c r="N810" t="s">
        <v>50</v>
      </c>
      <c r="O810" s="7">
        <f>الجدول1[[#This Row],[Discount]]*1</f>
        <v>0.21</v>
      </c>
      <c r="P810">
        <f>الجدول1[[#This Row],[Sales_Amount]]*(1-الجدول1[[#This Row],[Discount]])</f>
        <v>1387.8957</v>
      </c>
    </row>
    <row r="811" spans="1:16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 s="7">
        <v>0.04</v>
      </c>
      <c r="L811" t="s">
        <v>27</v>
      </c>
      <c r="M811" t="s">
        <v>19</v>
      </c>
      <c r="N811" t="s">
        <v>43</v>
      </c>
      <c r="O811" s="7">
        <f>الجدول1[[#This Row],[Discount]]*1</f>
        <v>0.04</v>
      </c>
      <c r="P811">
        <f>الجدول1[[#This Row],[Sales_Amount]]*(1-الجدول1[[#This Row],[Discount]])</f>
        <v>4851.4175999999998</v>
      </c>
    </row>
    <row r="812" spans="1:16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 s="7">
        <v>0.24</v>
      </c>
      <c r="L812" t="s">
        <v>18</v>
      </c>
      <c r="M812" t="s">
        <v>19</v>
      </c>
      <c r="N812" t="s">
        <v>47</v>
      </c>
      <c r="O812" s="7">
        <f>الجدول1[[#This Row],[Discount]]*1</f>
        <v>0.24</v>
      </c>
      <c r="P812">
        <f>الجدول1[[#This Row],[Sales_Amount]]*(1-الجدول1[[#This Row],[Discount]])</f>
        <v>5274.21</v>
      </c>
    </row>
    <row r="813" spans="1:16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 s="7">
        <v>0.01</v>
      </c>
      <c r="L813" t="s">
        <v>31</v>
      </c>
      <c r="M813" t="s">
        <v>19</v>
      </c>
      <c r="N813" t="s">
        <v>40</v>
      </c>
      <c r="O813" s="7">
        <f>الجدول1[[#This Row],[Discount]]*1</f>
        <v>0.01</v>
      </c>
      <c r="P813">
        <f>الجدول1[[#This Row],[Sales_Amount]]*(1-الجدول1[[#This Row],[Discount]])</f>
        <v>6931.6235999999999</v>
      </c>
    </row>
    <row r="814" spans="1:16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 s="7">
        <v>0.14000000000000001</v>
      </c>
      <c r="L814" t="s">
        <v>18</v>
      </c>
      <c r="M814" t="s">
        <v>19</v>
      </c>
      <c r="N814" t="s">
        <v>45</v>
      </c>
      <c r="O814" s="7">
        <f>الجدول1[[#This Row],[Discount]]*1</f>
        <v>0.14000000000000001</v>
      </c>
      <c r="P814">
        <f>الجدول1[[#This Row],[Sales_Amount]]*(1-الجدول1[[#This Row],[Discount]])</f>
        <v>5608.5158000000001</v>
      </c>
    </row>
    <row r="815" spans="1:16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 s="7">
        <v>0.1</v>
      </c>
      <c r="L815" t="s">
        <v>27</v>
      </c>
      <c r="M815" t="s">
        <v>19</v>
      </c>
      <c r="N815" t="s">
        <v>23</v>
      </c>
      <c r="O815" s="7">
        <f>الجدول1[[#This Row],[Discount]]*1</f>
        <v>0.1</v>
      </c>
      <c r="P815">
        <f>الجدول1[[#This Row],[Sales_Amount]]*(1-الجدول1[[#This Row],[Discount]])</f>
        <v>2542.8150000000001</v>
      </c>
    </row>
    <row r="816" spans="1:16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 s="7">
        <v>0.22</v>
      </c>
      <c r="L816" t="s">
        <v>27</v>
      </c>
      <c r="M816" t="s">
        <v>22</v>
      </c>
      <c r="N816" t="s">
        <v>28</v>
      </c>
      <c r="O816" s="7">
        <f>الجدول1[[#This Row],[Discount]]*1</f>
        <v>0.22</v>
      </c>
      <c r="P816">
        <f>الجدول1[[#This Row],[Sales_Amount]]*(1-الجدول1[[#This Row],[Discount]])</f>
        <v>1284.231</v>
      </c>
    </row>
    <row r="817" spans="1:16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 s="7">
        <v>0.09</v>
      </c>
      <c r="L817" t="s">
        <v>18</v>
      </c>
      <c r="M817" t="s">
        <v>22</v>
      </c>
      <c r="N817" t="s">
        <v>53</v>
      </c>
      <c r="O817" s="7">
        <f>الجدول1[[#This Row],[Discount]]*1</f>
        <v>0.09</v>
      </c>
      <c r="P817">
        <f>الجدول1[[#This Row],[Sales_Amount]]*(1-الجدول1[[#This Row],[Discount]])</f>
        <v>5820.187100000001</v>
      </c>
    </row>
    <row r="818" spans="1:16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 s="7">
        <v>0.25</v>
      </c>
      <c r="L818" t="s">
        <v>18</v>
      </c>
      <c r="M818" t="s">
        <v>19</v>
      </c>
      <c r="N818" t="s">
        <v>45</v>
      </c>
      <c r="O818" s="7">
        <f>الجدول1[[#This Row],[Discount]]*1</f>
        <v>0.25</v>
      </c>
      <c r="P818">
        <f>الجدول1[[#This Row],[Sales_Amount]]*(1-الجدول1[[#This Row],[Discount]])</f>
        <v>4524.8175000000001</v>
      </c>
    </row>
    <row r="819" spans="1:16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 s="7">
        <v>0.18</v>
      </c>
      <c r="L819" t="s">
        <v>18</v>
      </c>
      <c r="M819" t="s">
        <v>19</v>
      </c>
      <c r="N819" t="s">
        <v>46</v>
      </c>
      <c r="O819" s="7">
        <f>الجدول1[[#This Row],[Discount]]*1</f>
        <v>0.18</v>
      </c>
      <c r="P819">
        <f>الجدول1[[#This Row],[Sales_Amount]]*(1-الجدول1[[#This Row],[Discount]])</f>
        <v>1538.0083999999999</v>
      </c>
    </row>
    <row r="820" spans="1:16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 s="7">
        <v>0.24</v>
      </c>
      <c r="L820" t="s">
        <v>18</v>
      </c>
      <c r="M820" t="s">
        <v>22</v>
      </c>
      <c r="N820" t="s">
        <v>46</v>
      </c>
      <c r="O820" s="7">
        <f>الجدول1[[#This Row],[Discount]]*1</f>
        <v>0.24</v>
      </c>
      <c r="P820">
        <f>الجدول1[[#This Row],[Sales_Amount]]*(1-الجدول1[[#This Row],[Discount]])</f>
        <v>5381.4688000000006</v>
      </c>
    </row>
    <row r="821" spans="1:16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 s="7">
        <v>0.3</v>
      </c>
      <c r="L821" t="s">
        <v>18</v>
      </c>
      <c r="M821" t="s">
        <v>19</v>
      </c>
      <c r="N821" t="s">
        <v>43</v>
      </c>
      <c r="O821" s="7">
        <f>الجدول1[[#This Row],[Discount]]*1</f>
        <v>0.3</v>
      </c>
      <c r="P821">
        <f>الجدول1[[#This Row],[Sales_Amount]]*(1-الجدول1[[#This Row],[Discount]])</f>
        <v>3224.3399999999997</v>
      </c>
    </row>
    <row r="822" spans="1:16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 s="7">
        <v>0.2</v>
      </c>
      <c r="L822" t="s">
        <v>27</v>
      </c>
      <c r="M822" t="s">
        <v>22</v>
      </c>
      <c r="N822" t="s">
        <v>41</v>
      </c>
      <c r="O822" s="7">
        <f>الجدول1[[#This Row],[Discount]]*1</f>
        <v>0.2</v>
      </c>
      <c r="P822">
        <f>الجدول1[[#This Row],[Sales_Amount]]*(1-الجدول1[[#This Row],[Discount]])</f>
        <v>5368.6640000000007</v>
      </c>
    </row>
    <row r="823" spans="1:16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 s="7">
        <v>0.3</v>
      </c>
      <c r="L823" t="s">
        <v>18</v>
      </c>
      <c r="M823" t="s">
        <v>19</v>
      </c>
      <c r="N823" t="s">
        <v>28</v>
      </c>
      <c r="O823" s="7">
        <f>الجدول1[[#This Row],[Discount]]*1</f>
        <v>0.3</v>
      </c>
      <c r="P823">
        <f>الجدول1[[#This Row],[Sales_Amount]]*(1-الجدول1[[#This Row],[Discount]])</f>
        <v>5872.951</v>
      </c>
    </row>
    <row r="824" spans="1:16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 s="7">
        <v>0.01</v>
      </c>
      <c r="L824" t="s">
        <v>31</v>
      </c>
      <c r="M824" t="s">
        <v>22</v>
      </c>
      <c r="N824" t="s">
        <v>51</v>
      </c>
      <c r="O824" s="7">
        <f>الجدول1[[#This Row],[Discount]]*1</f>
        <v>0.01</v>
      </c>
      <c r="P824">
        <f>الجدول1[[#This Row],[Sales_Amount]]*(1-الجدول1[[#This Row],[Discount]])</f>
        <v>1762.5068999999999</v>
      </c>
    </row>
    <row r="825" spans="1:16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 s="7">
        <v>0.1</v>
      </c>
      <c r="L825" t="s">
        <v>27</v>
      </c>
      <c r="M825" t="s">
        <v>22</v>
      </c>
      <c r="N825" t="s">
        <v>40</v>
      </c>
      <c r="O825" s="7">
        <f>الجدول1[[#This Row],[Discount]]*1</f>
        <v>0.1</v>
      </c>
      <c r="P825">
        <f>الجدول1[[#This Row],[Sales_Amount]]*(1-الجدول1[[#This Row],[Discount]])</f>
        <v>260.577</v>
      </c>
    </row>
    <row r="826" spans="1:16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 s="7">
        <v>0.03</v>
      </c>
      <c r="L826" t="s">
        <v>27</v>
      </c>
      <c r="M826" t="s">
        <v>19</v>
      </c>
      <c r="N826" t="s">
        <v>50</v>
      </c>
      <c r="O826" s="7">
        <f>الجدول1[[#This Row],[Discount]]*1</f>
        <v>0.03</v>
      </c>
      <c r="P826">
        <f>الجدول1[[#This Row],[Sales_Amount]]*(1-الجدول1[[#This Row],[Discount]])</f>
        <v>7578.7263999999996</v>
      </c>
    </row>
    <row r="827" spans="1:16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 s="7">
        <v>0.08</v>
      </c>
      <c r="L827" t="s">
        <v>31</v>
      </c>
      <c r="M827" t="s">
        <v>22</v>
      </c>
      <c r="N827" t="s">
        <v>44</v>
      </c>
      <c r="O827" s="7">
        <f>الجدول1[[#This Row],[Discount]]*1</f>
        <v>0.08</v>
      </c>
      <c r="P827">
        <f>الجدول1[[#This Row],[Sales_Amount]]*(1-الجدول1[[#This Row],[Discount]])</f>
        <v>5645.12</v>
      </c>
    </row>
    <row r="828" spans="1:16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 s="7">
        <v>0.25</v>
      </c>
      <c r="L828" t="s">
        <v>31</v>
      </c>
      <c r="M828" t="s">
        <v>19</v>
      </c>
      <c r="N828" t="s">
        <v>28</v>
      </c>
      <c r="O828" s="7">
        <f>الجدول1[[#This Row],[Discount]]*1</f>
        <v>0.25</v>
      </c>
      <c r="P828">
        <f>الجدول1[[#This Row],[Sales_Amount]]*(1-الجدول1[[#This Row],[Discount]])</f>
        <v>5269.8225000000002</v>
      </c>
    </row>
    <row r="829" spans="1:16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 s="7">
        <v>0.01</v>
      </c>
      <c r="L829" t="s">
        <v>27</v>
      </c>
      <c r="M829" t="s">
        <v>22</v>
      </c>
      <c r="N829" t="s">
        <v>23</v>
      </c>
      <c r="O829" s="7">
        <f>الجدول1[[#This Row],[Discount]]*1</f>
        <v>0.01</v>
      </c>
      <c r="P829">
        <f>الجدول1[[#This Row],[Sales_Amount]]*(1-الجدول1[[#This Row],[Discount]])</f>
        <v>8313.7526999999991</v>
      </c>
    </row>
    <row r="830" spans="1:16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 s="7">
        <v>0.16</v>
      </c>
      <c r="L830" t="s">
        <v>18</v>
      </c>
      <c r="M830" t="s">
        <v>19</v>
      </c>
      <c r="N830" t="s">
        <v>23</v>
      </c>
      <c r="O830" s="7">
        <f>الجدول1[[#This Row],[Discount]]*1</f>
        <v>0.16</v>
      </c>
      <c r="P830">
        <f>الجدول1[[#This Row],[Sales_Amount]]*(1-الجدول1[[#This Row],[Discount]])</f>
        <v>6760.1772000000001</v>
      </c>
    </row>
    <row r="831" spans="1:16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 s="7">
        <v>0.17</v>
      </c>
      <c r="L831" t="s">
        <v>27</v>
      </c>
      <c r="M831" t="s">
        <v>19</v>
      </c>
      <c r="N831" t="s">
        <v>44</v>
      </c>
      <c r="O831" s="7">
        <f>الجدول1[[#This Row],[Discount]]*1</f>
        <v>0.17</v>
      </c>
      <c r="P831">
        <f>الجدول1[[#This Row],[Sales_Amount]]*(1-الجدول1[[#This Row],[Discount]])</f>
        <v>7978.8813</v>
      </c>
    </row>
    <row r="832" spans="1:16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 s="7">
        <v>0.17</v>
      </c>
      <c r="L832" t="s">
        <v>27</v>
      </c>
      <c r="M832" t="s">
        <v>19</v>
      </c>
      <c r="N832" t="s">
        <v>51</v>
      </c>
      <c r="O832" s="7">
        <f>الجدول1[[#This Row],[Discount]]*1</f>
        <v>0.17</v>
      </c>
      <c r="P832">
        <f>الجدول1[[#This Row],[Sales_Amount]]*(1-الجدول1[[#This Row],[Discount]])</f>
        <v>4486.7807999999995</v>
      </c>
    </row>
    <row r="833" spans="1:16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 s="7">
        <v>0.14000000000000001</v>
      </c>
      <c r="L833" t="s">
        <v>31</v>
      </c>
      <c r="M833" t="s">
        <v>22</v>
      </c>
      <c r="N833" t="s">
        <v>39</v>
      </c>
      <c r="O833" s="7">
        <f>الجدول1[[#This Row],[Discount]]*1</f>
        <v>0.14000000000000001</v>
      </c>
      <c r="P833">
        <f>الجدول1[[#This Row],[Sales_Amount]]*(1-الجدول1[[#This Row],[Discount]])</f>
        <v>4245.0545999999995</v>
      </c>
    </row>
    <row r="834" spans="1:16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 s="7">
        <v>0.24</v>
      </c>
      <c r="L834" t="s">
        <v>27</v>
      </c>
      <c r="M834" t="s">
        <v>19</v>
      </c>
      <c r="N834" t="s">
        <v>28</v>
      </c>
      <c r="O834" s="7">
        <f>الجدول1[[#This Row],[Discount]]*1</f>
        <v>0.24</v>
      </c>
      <c r="P834">
        <f>الجدول1[[#This Row],[Sales_Amount]]*(1-الجدول1[[#This Row],[Discount]])</f>
        <v>3099.7968000000001</v>
      </c>
    </row>
    <row r="835" spans="1:16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 s="7">
        <v>0.04</v>
      </c>
      <c r="L835" t="s">
        <v>18</v>
      </c>
      <c r="M835" t="s">
        <v>19</v>
      </c>
      <c r="N835" t="s">
        <v>32</v>
      </c>
      <c r="O835" s="7">
        <f>الجدول1[[#This Row],[Discount]]*1</f>
        <v>0.04</v>
      </c>
      <c r="P835">
        <f>الجدول1[[#This Row],[Sales_Amount]]*(1-الجدول1[[#This Row],[Discount]])</f>
        <v>1556.6784</v>
      </c>
    </row>
    <row r="836" spans="1:16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 s="7">
        <v>0.09</v>
      </c>
      <c r="L836" t="s">
        <v>31</v>
      </c>
      <c r="M836" t="s">
        <v>19</v>
      </c>
      <c r="N836" t="s">
        <v>49</v>
      </c>
      <c r="O836" s="7">
        <f>الجدول1[[#This Row],[Discount]]*1</f>
        <v>0.09</v>
      </c>
      <c r="P836">
        <f>الجدول1[[#This Row],[Sales_Amount]]*(1-الجدول1[[#This Row],[Discount]])</f>
        <v>5249.6171000000004</v>
      </c>
    </row>
    <row r="837" spans="1:16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 s="7">
        <v>0.18</v>
      </c>
      <c r="L837" t="s">
        <v>27</v>
      </c>
      <c r="M837" t="s">
        <v>22</v>
      </c>
      <c r="N837" t="s">
        <v>37</v>
      </c>
      <c r="O837" s="7">
        <f>الجدول1[[#This Row],[Discount]]*1</f>
        <v>0.18</v>
      </c>
      <c r="P837">
        <f>الجدول1[[#This Row],[Sales_Amount]]*(1-الجدول1[[#This Row],[Discount]])</f>
        <v>2330.7844000000005</v>
      </c>
    </row>
    <row r="838" spans="1:16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 s="7">
        <v>0.21</v>
      </c>
      <c r="L838" t="s">
        <v>27</v>
      </c>
      <c r="M838" t="s">
        <v>19</v>
      </c>
      <c r="N838" t="s">
        <v>46</v>
      </c>
      <c r="O838" s="7">
        <f>الجدول1[[#This Row],[Discount]]*1</f>
        <v>0.21</v>
      </c>
      <c r="P838">
        <f>الجدول1[[#This Row],[Sales_Amount]]*(1-الجدول1[[#This Row],[Discount]])</f>
        <v>7284.5426000000007</v>
      </c>
    </row>
    <row r="839" spans="1:16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 s="7">
        <v>0.12</v>
      </c>
      <c r="L839" t="s">
        <v>18</v>
      </c>
      <c r="M839" t="s">
        <v>22</v>
      </c>
      <c r="N839" t="s">
        <v>36</v>
      </c>
      <c r="O839" s="7">
        <f>الجدول1[[#This Row],[Discount]]*1</f>
        <v>0.12</v>
      </c>
      <c r="P839">
        <f>الجدول1[[#This Row],[Sales_Amount]]*(1-الجدول1[[#This Row],[Discount]])</f>
        <v>5168.7592000000004</v>
      </c>
    </row>
    <row r="840" spans="1:16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 s="7">
        <v>0.26</v>
      </c>
      <c r="L840" t="s">
        <v>27</v>
      </c>
      <c r="M840" t="s">
        <v>22</v>
      </c>
      <c r="N840" t="s">
        <v>47</v>
      </c>
      <c r="O840" s="7">
        <f>الجدول1[[#This Row],[Discount]]*1</f>
        <v>0.26</v>
      </c>
      <c r="P840">
        <f>الجدول1[[#This Row],[Sales_Amount]]*(1-الجدول1[[#This Row],[Discount]])</f>
        <v>4417.1487999999999</v>
      </c>
    </row>
    <row r="841" spans="1:16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 s="7">
        <v>0.12</v>
      </c>
      <c r="L841" t="s">
        <v>27</v>
      </c>
      <c r="M841" t="s">
        <v>22</v>
      </c>
      <c r="N841" t="s">
        <v>39</v>
      </c>
      <c r="O841" s="7">
        <f>الجدول1[[#This Row],[Discount]]*1</f>
        <v>0.12</v>
      </c>
      <c r="P841">
        <f>الجدول1[[#This Row],[Sales_Amount]]*(1-الجدول1[[#This Row],[Discount]])</f>
        <v>3180.1</v>
      </c>
    </row>
    <row r="842" spans="1:16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 s="7">
        <v>0.12</v>
      </c>
      <c r="L842" t="s">
        <v>27</v>
      </c>
      <c r="M842" t="s">
        <v>19</v>
      </c>
      <c r="N842" t="s">
        <v>46</v>
      </c>
      <c r="O842" s="7">
        <f>الجدول1[[#This Row],[Discount]]*1</f>
        <v>0.12</v>
      </c>
      <c r="P842">
        <f>الجدول1[[#This Row],[Sales_Amount]]*(1-الجدول1[[#This Row],[Discount]])</f>
        <v>540.92720000000008</v>
      </c>
    </row>
    <row r="843" spans="1:16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 s="7">
        <v>0.01</v>
      </c>
      <c r="L843" t="s">
        <v>27</v>
      </c>
      <c r="M843" t="s">
        <v>19</v>
      </c>
      <c r="N843" t="s">
        <v>46</v>
      </c>
      <c r="O843" s="7">
        <f>الجدول1[[#This Row],[Discount]]*1</f>
        <v>0.01</v>
      </c>
      <c r="P843">
        <f>الجدول1[[#This Row],[Sales_Amount]]*(1-الجدول1[[#This Row],[Discount]])</f>
        <v>410.11739999999998</v>
      </c>
    </row>
    <row r="844" spans="1:16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 s="7">
        <v>0.17</v>
      </c>
      <c r="L844" t="s">
        <v>18</v>
      </c>
      <c r="M844" t="s">
        <v>22</v>
      </c>
      <c r="N844" t="s">
        <v>47</v>
      </c>
      <c r="O844" s="7">
        <f>الجدول1[[#This Row],[Discount]]*1</f>
        <v>0.17</v>
      </c>
      <c r="P844">
        <f>الجدول1[[#This Row],[Sales_Amount]]*(1-الجدول1[[#This Row],[Discount]])</f>
        <v>3561.5466000000001</v>
      </c>
    </row>
    <row r="845" spans="1:16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 s="7">
        <v>0.21</v>
      </c>
      <c r="L845" t="s">
        <v>27</v>
      </c>
      <c r="M845" t="s">
        <v>19</v>
      </c>
      <c r="N845" t="s">
        <v>52</v>
      </c>
      <c r="O845" s="7">
        <f>الجدول1[[#This Row],[Discount]]*1</f>
        <v>0.21</v>
      </c>
      <c r="P845">
        <f>الجدول1[[#This Row],[Sales_Amount]]*(1-الجدول1[[#This Row],[Discount]])</f>
        <v>740.38800000000003</v>
      </c>
    </row>
    <row r="846" spans="1:16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 s="7">
        <v>0.03</v>
      </c>
      <c r="L846" t="s">
        <v>27</v>
      </c>
      <c r="M846" t="s">
        <v>19</v>
      </c>
      <c r="N846" t="s">
        <v>39</v>
      </c>
      <c r="O846" s="7">
        <f>الجدول1[[#This Row],[Discount]]*1</f>
        <v>0.03</v>
      </c>
      <c r="P846">
        <f>الجدول1[[#This Row],[Sales_Amount]]*(1-الجدول1[[#This Row],[Discount]])</f>
        <v>5924.5465999999997</v>
      </c>
    </row>
    <row r="847" spans="1:16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 s="7">
        <v>0.09</v>
      </c>
      <c r="L847" t="s">
        <v>27</v>
      </c>
      <c r="M847" t="s">
        <v>22</v>
      </c>
      <c r="N847" t="s">
        <v>23</v>
      </c>
      <c r="O847" s="7">
        <f>الجدول1[[#This Row],[Discount]]*1</f>
        <v>0.09</v>
      </c>
      <c r="P847">
        <f>الجدول1[[#This Row],[Sales_Amount]]*(1-الجدول1[[#This Row],[Discount]])</f>
        <v>8027.6832999999997</v>
      </c>
    </row>
    <row r="848" spans="1:16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 s="7">
        <v>0.23</v>
      </c>
      <c r="L848" t="s">
        <v>31</v>
      </c>
      <c r="M848" t="s">
        <v>22</v>
      </c>
      <c r="N848" t="s">
        <v>39</v>
      </c>
      <c r="O848" s="7">
        <f>الجدول1[[#This Row],[Discount]]*1</f>
        <v>0.23</v>
      </c>
      <c r="P848">
        <f>الجدول1[[#This Row],[Sales_Amount]]*(1-الجدول1[[#This Row],[Discount]])</f>
        <v>6807.4622000000008</v>
      </c>
    </row>
    <row r="849" spans="1:16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 s="7">
        <v>0.11</v>
      </c>
      <c r="L849" t="s">
        <v>18</v>
      </c>
      <c r="M849" t="s">
        <v>19</v>
      </c>
      <c r="N849" t="s">
        <v>46</v>
      </c>
      <c r="O849" s="7">
        <f>الجدول1[[#This Row],[Discount]]*1</f>
        <v>0.11</v>
      </c>
      <c r="P849">
        <f>الجدول1[[#This Row],[Sales_Amount]]*(1-الجدول1[[#This Row],[Discount]])</f>
        <v>5895.8495000000003</v>
      </c>
    </row>
    <row r="850" spans="1:16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 s="7">
        <v>7.0000000000000007E-2</v>
      </c>
      <c r="L850" t="s">
        <v>31</v>
      </c>
      <c r="M850" t="s">
        <v>22</v>
      </c>
      <c r="N850" t="s">
        <v>48</v>
      </c>
      <c r="O850" s="7">
        <f>الجدول1[[#This Row],[Discount]]*1</f>
        <v>7.0000000000000007E-2</v>
      </c>
      <c r="P850">
        <f>الجدول1[[#This Row],[Sales_Amount]]*(1-الجدول1[[#This Row],[Discount]])</f>
        <v>2037.8159999999998</v>
      </c>
    </row>
    <row r="851" spans="1:16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 s="7">
        <v>0.2</v>
      </c>
      <c r="L851" t="s">
        <v>31</v>
      </c>
      <c r="M851" t="s">
        <v>19</v>
      </c>
      <c r="N851" t="s">
        <v>44</v>
      </c>
      <c r="O851" s="7">
        <f>الجدول1[[#This Row],[Discount]]*1</f>
        <v>0.2</v>
      </c>
      <c r="P851">
        <f>الجدول1[[#This Row],[Sales_Amount]]*(1-الجدول1[[#This Row],[Discount]])</f>
        <v>6914.9360000000006</v>
      </c>
    </row>
    <row r="852" spans="1:16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 s="7">
        <v>0.06</v>
      </c>
      <c r="L852" t="s">
        <v>18</v>
      </c>
      <c r="M852" t="s">
        <v>22</v>
      </c>
      <c r="N852" t="s">
        <v>20</v>
      </c>
      <c r="O852" s="7">
        <f>الجدول1[[#This Row],[Discount]]*1</f>
        <v>0.06</v>
      </c>
      <c r="P852">
        <f>الجدول1[[#This Row],[Sales_Amount]]*(1-الجدول1[[#This Row],[Discount]])</f>
        <v>8339.9902000000002</v>
      </c>
    </row>
    <row r="853" spans="1:16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 s="7">
        <v>0.27</v>
      </c>
      <c r="L853" t="s">
        <v>31</v>
      </c>
      <c r="M853" t="s">
        <v>19</v>
      </c>
      <c r="N853" t="s">
        <v>48</v>
      </c>
      <c r="O853" s="7">
        <f>الجدول1[[#This Row],[Discount]]*1</f>
        <v>0.27</v>
      </c>
      <c r="P853">
        <f>الجدول1[[#This Row],[Sales_Amount]]*(1-الجدول1[[#This Row],[Discount]])</f>
        <v>1494.2150999999999</v>
      </c>
    </row>
    <row r="854" spans="1:16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 s="7">
        <v>0.03</v>
      </c>
      <c r="L854" t="s">
        <v>31</v>
      </c>
      <c r="M854" t="s">
        <v>19</v>
      </c>
      <c r="N854" t="s">
        <v>49</v>
      </c>
      <c r="O854" s="7">
        <f>الجدول1[[#This Row],[Discount]]*1</f>
        <v>0.03</v>
      </c>
      <c r="P854">
        <f>الجدول1[[#This Row],[Sales_Amount]]*(1-الجدول1[[#This Row],[Discount]])</f>
        <v>7178.5043999999998</v>
      </c>
    </row>
    <row r="855" spans="1:16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 s="7">
        <v>0.21</v>
      </c>
      <c r="L855" t="s">
        <v>31</v>
      </c>
      <c r="M855" t="s">
        <v>22</v>
      </c>
      <c r="N855" t="s">
        <v>36</v>
      </c>
      <c r="O855" s="7">
        <f>الجدول1[[#This Row],[Discount]]*1</f>
        <v>0.21</v>
      </c>
      <c r="P855">
        <f>الجدول1[[#This Row],[Sales_Amount]]*(1-الجدول1[[#This Row],[Discount]])</f>
        <v>2319.8666000000003</v>
      </c>
    </row>
    <row r="856" spans="1:16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 s="7">
        <v>0.15</v>
      </c>
      <c r="L856" t="s">
        <v>18</v>
      </c>
      <c r="M856" t="s">
        <v>19</v>
      </c>
      <c r="N856" t="s">
        <v>53</v>
      </c>
      <c r="O856" s="7">
        <f>الجدول1[[#This Row],[Discount]]*1</f>
        <v>0.15</v>
      </c>
      <c r="P856">
        <f>الجدول1[[#This Row],[Sales_Amount]]*(1-الجدول1[[#This Row],[Discount]])</f>
        <v>6839.2190000000001</v>
      </c>
    </row>
    <row r="857" spans="1:16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 s="7">
        <v>0.26</v>
      </c>
      <c r="L857" t="s">
        <v>27</v>
      </c>
      <c r="M857" t="s">
        <v>19</v>
      </c>
      <c r="N857" t="s">
        <v>49</v>
      </c>
      <c r="O857" s="7">
        <f>الجدول1[[#This Row],[Discount]]*1</f>
        <v>0.26</v>
      </c>
      <c r="P857">
        <f>الجدول1[[#This Row],[Sales_Amount]]*(1-الجدول1[[#This Row],[Discount]])</f>
        <v>7379.7683999999999</v>
      </c>
    </row>
    <row r="858" spans="1:16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 s="7">
        <v>0.04</v>
      </c>
      <c r="L858" t="s">
        <v>18</v>
      </c>
      <c r="M858" t="s">
        <v>22</v>
      </c>
      <c r="N858" t="s">
        <v>40</v>
      </c>
      <c r="O858" s="7">
        <f>الجدول1[[#This Row],[Discount]]*1</f>
        <v>0.04</v>
      </c>
      <c r="P858">
        <f>الجدول1[[#This Row],[Sales_Amount]]*(1-الجدول1[[#This Row],[Discount]])</f>
        <v>381.36959999999999</v>
      </c>
    </row>
    <row r="859" spans="1:16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 s="7">
        <v>0.2</v>
      </c>
      <c r="L859" t="s">
        <v>18</v>
      </c>
      <c r="M859" t="s">
        <v>19</v>
      </c>
      <c r="N859" t="s">
        <v>28</v>
      </c>
      <c r="O859" s="7">
        <f>الجدول1[[#This Row],[Discount]]*1</f>
        <v>0.2</v>
      </c>
      <c r="P859">
        <f>الجدول1[[#This Row],[Sales_Amount]]*(1-الجدول1[[#This Row],[Discount]])</f>
        <v>7187.1360000000004</v>
      </c>
    </row>
    <row r="860" spans="1:16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 s="7">
        <v>0.17</v>
      </c>
      <c r="L860" t="s">
        <v>18</v>
      </c>
      <c r="M860" t="s">
        <v>19</v>
      </c>
      <c r="N860" t="s">
        <v>49</v>
      </c>
      <c r="O860" s="7">
        <f>الجدول1[[#This Row],[Discount]]*1</f>
        <v>0.17</v>
      </c>
      <c r="P860">
        <f>الجدول1[[#This Row],[Sales_Amount]]*(1-الجدول1[[#This Row],[Discount]])</f>
        <v>5199.1531999999997</v>
      </c>
    </row>
    <row r="861" spans="1:16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 s="7">
        <v>0.14000000000000001</v>
      </c>
      <c r="L861" t="s">
        <v>31</v>
      </c>
      <c r="M861" t="s">
        <v>19</v>
      </c>
      <c r="N861" t="s">
        <v>40</v>
      </c>
      <c r="O861" s="7">
        <f>الجدول1[[#This Row],[Discount]]*1</f>
        <v>0.14000000000000001</v>
      </c>
      <c r="P861">
        <f>الجدول1[[#This Row],[Sales_Amount]]*(1-الجدول1[[#This Row],[Discount]])</f>
        <v>8373.3814000000002</v>
      </c>
    </row>
    <row r="862" spans="1:16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 s="7">
        <v>0.15</v>
      </c>
      <c r="L862" t="s">
        <v>27</v>
      </c>
      <c r="M862" t="s">
        <v>22</v>
      </c>
      <c r="N862" t="s">
        <v>49</v>
      </c>
      <c r="O862" s="7">
        <f>الجدول1[[#This Row],[Discount]]*1</f>
        <v>0.15</v>
      </c>
      <c r="P862">
        <f>الجدول1[[#This Row],[Sales_Amount]]*(1-الجدول1[[#This Row],[Discount]])</f>
        <v>3998.0515</v>
      </c>
    </row>
    <row r="863" spans="1:16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 s="7">
        <v>0.22</v>
      </c>
      <c r="L863" t="s">
        <v>18</v>
      </c>
      <c r="M863" t="s">
        <v>22</v>
      </c>
      <c r="N863" t="s">
        <v>52</v>
      </c>
      <c r="O863" s="7">
        <f>الجدول1[[#This Row],[Discount]]*1</f>
        <v>0.22</v>
      </c>
      <c r="P863">
        <f>الجدول1[[#This Row],[Sales_Amount]]*(1-الجدول1[[#This Row],[Discount]])</f>
        <v>6621.5291999999999</v>
      </c>
    </row>
    <row r="864" spans="1:16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 s="7">
        <v>0.28000000000000003</v>
      </c>
      <c r="L864" t="s">
        <v>18</v>
      </c>
      <c r="M864" t="s">
        <v>22</v>
      </c>
      <c r="N864" t="s">
        <v>20</v>
      </c>
      <c r="O864" s="7">
        <f>الجدول1[[#This Row],[Discount]]*1</f>
        <v>0.28000000000000003</v>
      </c>
      <c r="P864">
        <f>الجدول1[[#This Row],[Sales_Amount]]*(1-الجدول1[[#This Row],[Discount]])</f>
        <v>516.74400000000003</v>
      </c>
    </row>
    <row r="865" spans="1:16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 s="7">
        <v>0.03</v>
      </c>
      <c r="L865" t="s">
        <v>27</v>
      </c>
      <c r="M865" t="s">
        <v>22</v>
      </c>
      <c r="N865" t="s">
        <v>48</v>
      </c>
      <c r="O865" s="7">
        <f>الجدول1[[#This Row],[Discount]]*1</f>
        <v>0.03</v>
      </c>
      <c r="P865">
        <f>الجدول1[[#This Row],[Sales_Amount]]*(1-الجدول1[[#This Row],[Discount]])</f>
        <v>3316.6822000000002</v>
      </c>
    </row>
    <row r="866" spans="1:16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 s="7">
        <v>0.01</v>
      </c>
      <c r="L866" t="s">
        <v>27</v>
      </c>
      <c r="M866" t="s">
        <v>22</v>
      </c>
      <c r="N866" t="s">
        <v>45</v>
      </c>
      <c r="O866" s="7">
        <f>الجدول1[[#This Row],[Discount]]*1</f>
        <v>0.01</v>
      </c>
      <c r="P866">
        <f>الجدول1[[#This Row],[Sales_Amount]]*(1-الجدول1[[#This Row],[Discount]])</f>
        <v>755.82540000000006</v>
      </c>
    </row>
    <row r="867" spans="1:16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 s="7">
        <v>0.24</v>
      </c>
      <c r="L867" t="s">
        <v>27</v>
      </c>
      <c r="M867" t="s">
        <v>19</v>
      </c>
      <c r="N867" t="s">
        <v>20</v>
      </c>
      <c r="O867" s="7">
        <f>الجدول1[[#This Row],[Discount]]*1</f>
        <v>0.24</v>
      </c>
      <c r="P867">
        <f>الجدول1[[#This Row],[Sales_Amount]]*(1-الجدول1[[#This Row],[Discount]])</f>
        <v>7414.4839999999995</v>
      </c>
    </row>
    <row r="868" spans="1:16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 s="7">
        <v>0.03</v>
      </c>
      <c r="L868" t="s">
        <v>31</v>
      </c>
      <c r="M868" t="s">
        <v>19</v>
      </c>
      <c r="N868" t="s">
        <v>43</v>
      </c>
      <c r="O868" s="7">
        <f>الجدول1[[#This Row],[Discount]]*1</f>
        <v>0.03</v>
      </c>
      <c r="P868">
        <f>الجدول1[[#This Row],[Sales_Amount]]*(1-الجدول1[[#This Row],[Discount]])</f>
        <v>7942.3987999999999</v>
      </c>
    </row>
    <row r="869" spans="1:16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 s="7">
        <v>0.3</v>
      </c>
      <c r="L869" t="s">
        <v>27</v>
      </c>
      <c r="M869" t="s">
        <v>19</v>
      </c>
      <c r="N869" t="s">
        <v>52</v>
      </c>
      <c r="O869" s="7">
        <f>الجدول1[[#This Row],[Discount]]*1</f>
        <v>0.3</v>
      </c>
      <c r="P869">
        <f>الجدول1[[#This Row],[Sales_Amount]]*(1-الجدول1[[#This Row],[Discount]])</f>
        <v>5978.1539999999995</v>
      </c>
    </row>
    <row r="870" spans="1:16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 s="7">
        <v>0.19</v>
      </c>
      <c r="L870" t="s">
        <v>31</v>
      </c>
      <c r="M870" t="s">
        <v>22</v>
      </c>
      <c r="N870" t="s">
        <v>49</v>
      </c>
      <c r="O870" s="7">
        <f>الجدول1[[#This Row],[Discount]]*1</f>
        <v>0.19</v>
      </c>
      <c r="P870">
        <f>الجدول1[[#This Row],[Sales_Amount]]*(1-الجدول1[[#This Row],[Discount]])</f>
        <v>7602.5466000000006</v>
      </c>
    </row>
    <row r="871" spans="1:16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 s="7">
        <v>0.2</v>
      </c>
      <c r="L871" t="s">
        <v>18</v>
      </c>
      <c r="M871" t="s">
        <v>19</v>
      </c>
      <c r="N871" t="s">
        <v>48</v>
      </c>
      <c r="O871" s="7">
        <f>الجدول1[[#This Row],[Discount]]*1</f>
        <v>0.2</v>
      </c>
      <c r="P871">
        <f>الجدول1[[#This Row],[Sales_Amount]]*(1-الجدول1[[#This Row],[Discount]])</f>
        <v>754.01600000000008</v>
      </c>
    </row>
    <row r="872" spans="1:16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 s="7">
        <v>0.06</v>
      </c>
      <c r="L872" t="s">
        <v>31</v>
      </c>
      <c r="M872" t="s">
        <v>22</v>
      </c>
      <c r="N872" t="s">
        <v>48</v>
      </c>
      <c r="O872" s="7">
        <f>الجدول1[[#This Row],[Discount]]*1</f>
        <v>0.06</v>
      </c>
      <c r="P872">
        <f>الجدول1[[#This Row],[Sales_Amount]]*(1-الجدول1[[#This Row],[Discount]])</f>
        <v>3682.3748000000001</v>
      </c>
    </row>
    <row r="873" spans="1:16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 s="7">
        <v>7.0000000000000007E-2</v>
      </c>
      <c r="L873" t="s">
        <v>27</v>
      </c>
      <c r="M873" t="s">
        <v>19</v>
      </c>
      <c r="N873" t="s">
        <v>23</v>
      </c>
      <c r="O873" s="7">
        <f>الجدول1[[#This Row],[Discount]]*1</f>
        <v>7.0000000000000007E-2</v>
      </c>
      <c r="P873">
        <f>الجدول1[[#This Row],[Sales_Amount]]*(1-الجدول1[[#This Row],[Discount]])</f>
        <v>747.02249999999992</v>
      </c>
    </row>
    <row r="874" spans="1:16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 s="7">
        <v>0.2</v>
      </c>
      <c r="L874" t="s">
        <v>31</v>
      </c>
      <c r="M874" t="s">
        <v>22</v>
      </c>
      <c r="N874" t="s">
        <v>28</v>
      </c>
      <c r="O874" s="7">
        <f>الجدول1[[#This Row],[Discount]]*1</f>
        <v>0.2</v>
      </c>
      <c r="P874">
        <f>الجدول1[[#This Row],[Sales_Amount]]*(1-الجدول1[[#This Row],[Discount]])</f>
        <v>1749.48</v>
      </c>
    </row>
    <row r="875" spans="1:16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 s="7">
        <v>0.27</v>
      </c>
      <c r="L875" t="s">
        <v>27</v>
      </c>
      <c r="M875" t="s">
        <v>19</v>
      </c>
      <c r="N875" t="s">
        <v>32</v>
      </c>
      <c r="O875" s="7">
        <f>الجدول1[[#This Row],[Discount]]*1</f>
        <v>0.27</v>
      </c>
      <c r="P875">
        <f>الجدول1[[#This Row],[Sales_Amount]]*(1-الجدول1[[#This Row],[Discount]])</f>
        <v>1730.6255999999998</v>
      </c>
    </row>
    <row r="876" spans="1:16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 s="7">
        <v>0.28999999999999998</v>
      </c>
      <c r="L876" t="s">
        <v>31</v>
      </c>
      <c r="M876" t="s">
        <v>19</v>
      </c>
      <c r="N876" t="s">
        <v>44</v>
      </c>
      <c r="O876" s="7">
        <f>الجدول1[[#This Row],[Discount]]*1</f>
        <v>0.28999999999999998</v>
      </c>
      <c r="P876">
        <f>الجدول1[[#This Row],[Sales_Amount]]*(1-الجدول1[[#This Row],[Discount]])</f>
        <v>3368.3535999999999</v>
      </c>
    </row>
    <row r="877" spans="1:16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 s="7">
        <v>0.06</v>
      </c>
      <c r="L877" t="s">
        <v>18</v>
      </c>
      <c r="M877" t="s">
        <v>22</v>
      </c>
      <c r="N877" t="s">
        <v>51</v>
      </c>
      <c r="O877" s="7">
        <f>الجدول1[[#This Row],[Discount]]*1</f>
        <v>0.06</v>
      </c>
      <c r="P877">
        <f>الجدول1[[#This Row],[Sales_Amount]]*(1-الجدول1[[#This Row],[Discount]])</f>
        <v>2593.2437999999997</v>
      </c>
    </row>
    <row r="878" spans="1:16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 s="7">
        <v>0.04</v>
      </c>
      <c r="L878" t="s">
        <v>31</v>
      </c>
      <c r="M878" t="s">
        <v>19</v>
      </c>
      <c r="N878" t="s">
        <v>51</v>
      </c>
      <c r="O878" s="7">
        <f>الجدول1[[#This Row],[Discount]]*1</f>
        <v>0.04</v>
      </c>
      <c r="P878">
        <f>الجدول1[[#This Row],[Sales_Amount]]*(1-الجدول1[[#This Row],[Discount]])</f>
        <v>1055.6928</v>
      </c>
    </row>
    <row r="879" spans="1:16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 s="7">
        <v>0.02</v>
      </c>
      <c r="L879" t="s">
        <v>18</v>
      </c>
      <c r="M879" t="s">
        <v>19</v>
      </c>
      <c r="N879" t="s">
        <v>43</v>
      </c>
      <c r="O879" s="7">
        <f>الجدول1[[#This Row],[Discount]]*1</f>
        <v>0.02</v>
      </c>
      <c r="P879">
        <f>الجدول1[[#This Row],[Sales_Amount]]*(1-الجدول1[[#This Row],[Discount]])</f>
        <v>1722.9968000000001</v>
      </c>
    </row>
    <row r="880" spans="1:16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 s="7">
        <v>0.26</v>
      </c>
      <c r="L880" t="s">
        <v>27</v>
      </c>
      <c r="M880" t="s">
        <v>22</v>
      </c>
      <c r="N880" t="s">
        <v>23</v>
      </c>
      <c r="O880" s="7">
        <f>الجدول1[[#This Row],[Discount]]*1</f>
        <v>0.26</v>
      </c>
      <c r="P880">
        <f>الجدول1[[#This Row],[Sales_Amount]]*(1-الجدول1[[#This Row],[Discount]])</f>
        <v>1152.9422</v>
      </c>
    </row>
    <row r="881" spans="1:16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 s="7">
        <v>0.09</v>
      </c>
      <c r="L881" t="s">
        <v>18</v>
      </c>
      <c r="M881" t="s">
        <v>19</v>
      </c>
      <c r="N881" t="s">
        <v>23</v>
      </c>
      <c r="O881" s="7">
        <f>الجدول1[[#This Row],[Discount]]*1</f>
        <v>0.09</v>
      </c>
      <c r="P881">
        <f>الجدول1[[#This Row],[Sales_Amount]]*(1-الجدول1[[#This Row],[Discount]])</f>
        <v>8857.4485999999997</v>
      </c>
    </row>
    <row r="882" spans="1:16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 s="7">
        <v>0</v>
      </c>
      <c r="L882" t="s">
        <v>27</v>
      </c>
      <c r="M882" t="s">
        <v>19</v>
      </c>
      <c r="N882" t="s">
        <v>51</v>
      </c>
      <c r="O882" s="7">
        <f>الجدول1[[#This Row],[Discount]]*1</f>
        <v>0</v>
      </c>
      <c r="P882">
        <f>الجدول1[[#This Row],[Sales_Amount]]*(1-الجدول1[[#This Row],[Discount]])</f>
        <v>7617</v>
      </c>
    </row>
    <row r="883" spans="1:16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 s="7">
        <v>7.0000000000000007E-2</v>
      </c>
      <c r="L883" t="s">
        <v>27</v>
      </c>
      <c r="M883" t="s">
        <v>22</v>
      </c>
      <c r="N883" t="s">
        <v>32</v>
      </c>
      <c r="O883" s="7">
        <f>الجدول1[[#This Row],[Discount]]*1</f>
        <v>7.0000000000000007E-2</v>
      </c>
      <c r="P883">
        <f>الجدول1[[#This Row],[Sales_Amount]]*(1-الجدول1[[#This Row],[Discount]])</f>
        <v>9003.1811999999991</v>
      </c>
    </row>
    <row r="884" spans="1:16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 s="7">
        <v>0.1</v>
      </c>
      <c r="L884" t="s">
        <v>18</v>
      </c>
      <c r="M884" t="s">
        <v>22</v>
      </c>
      <c r="N884" t="s">
        <v>39</v>
      </c>
      <c r="O884" s="7">
        <f>الجدول1[[#This Row],[Discount]]*1</f>
        <v>0.1</v>
      </c>
      <c r="P884">
        <f>الجدول1[[#This Row],[Sales_Amount]]*(1-الجدول1[[#This Row],[Discount]])</f>
        <v>4008.0870000000004</v>
      </c>
    </row>
    <row r="885" spans="1:16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 s="7">
        <v>0.3</v>
      </c>
      <c r="L885" t="s">
        <v>18</v>
      </c>
      <c r="M885" t="s">
        <v>22</v>
      </c>
      <c r="N885" t="s">
        <v>39</v>
      </c>
      <c r="O885" s="7">
        <f>الجدول1[[#This Row],[Discount]]*1</f>
        <v>0.3</v>
      </c>
      <c r="P885">
        <f>الجدول1[[#This Row],[Sales_Amount]]*(1-الجدول1[[#This Row],[Discount]])</f>
        <v>1999.0949999999998</v>
      </c>
    </row>
    <row r="886" spans="1:16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 s="7">
        <v>0.16</v>
      </c>
      <c r="L886" t="s">
        <v>31</v>
      </c>
      <c r="M886" t="s">
        <v>22</v>
      </c>
      <c r="N886" t="s">
        <v>23</v>
      </c>
      <c r="O886" s="7">
        <f>الجدول1[[#This Row],[Discount]]*1</f>
        <v>0.16</v>
      </c>
      <c r="P886">
        <f>الجدول1[[#This Row],[Sales_Amount]]*(1-الجدول1[[#This Row],[Discount]])</f>
        <v>6722.6040000000003</v>
      </c>
    </row>
    <row r="887" spans="1:16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 s="7">
        <v>0.06</v>
      </c>
      <c r="L887" t="s">
        <v>31</v>
      </c>
      <c r="M887" t="s">
        <v>22</v>
      </c>
      <c r="N887" t="s">
        <v>43</v>
      </c>
      <c r="O887" s="7">
        <f>الجدول1[[#This Row],[Discount]]*1</f>
        <v>0.06</v>
      </c>
      <c r="P887">
        <f>الجدول1[[#This Row],[Sales_Amount]]*(1-الجدول1[[#This Row],[Discount]])</f>
        <v>3130.1153999999997</v>
      </c>
    </row>
    <row r="888" spans="1:16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 s="7">
        <v>0.1</v>
      </c>
      <c r="L888" t="s">
        <v>18</v>
      </c>
      <c r="M888" t="s">
        <v>19</v>
      </c>
      <c r="N888" t="s">
        <v>23</v>
      </c>
      <c r="O888" s="7">
        <f>الجدول1[[#This Row],[Discount]]*1</f>
        <v>0.1</v>
      </c>
      <c r="P888">
        <f>الجدول1[[#This Row],[Sales_Amount]]*(1-الجدول1[[#This Row],[Discount]])</f>
        <v>2757.51</v>
      </c>
    </row>
    <row r="889" spans="1:16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 s="7">
        <v>0.1</v>
      </c>
      <c r="L889" t="s">
        <v>18</v>
      </c>
      <c r="M889" t="s">
        <v>22</v>
      </c>
      <c r="N889" t="s">
        <v>20</v>
      </c>
      <c r="O889" s="7">
        <f>الجدول1[[#This Row],[Discount]]*1</f>
        <v>0.1</v>
      </c>
      <c r="P889">
        <f>الجدول1[[#This Row],[Sales_Amount]]*(1-الجدول1[[#This Row],[Discount]])</f>
        <v>2161.6289999999999</v>
      </c>
    </row>
    <row r="890" spans="1:16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 s="7">
        <v>0.01</v>
      </c>
      <c r="L890" t="s">
        <v>18</v>
      </c>
      <c r="M890" t="s">
        <v>22</v>
      </c>
      <c r="N890" t="s">
        <v>23</v>
      </c>
      <c r="O890" s="7">
        <f>الجدول1[[#This Row],[Discount]]*1</f>
        <v>0.01</v>
      </c>
      <c r="P890">
        <f>الجدول1[[#This Row],[Sales_Amount]]*(1-الجدول1[[#This Row],[Discount]])</f>
        <v>1369.9818</v>
      </c>
    </row>
    <row r="891" spans="1:16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 s="7">
        <v>0.04</v>
      </c>
      <c r="L891" t="s">
        <v>18</v>
      </c>
      <c r="M891" t="s">
        <v>19</v>
      </c>
      <c r="N891" t="s">
        <v>36</v>
      </c>
      <c r="O891" s="7">
        <f>الجدول1[[#This Row],[Discount]]*1</f>
        <v>0.04</v>
      </c>
      <c r="P891">
        <f>الجدول1[[#This Row],[Sales_Amount]]*(1-الجدول1[[#This Row],[Discount]])</f>
        <v>2533.4207999999999</v>
      </c>
    </row>
    <row r="892" spans="1:16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 s="7">
        <v>0.21</v>
      </c>
      <c r="L892" t="s">
        <v>27</v>
      </c>
      <c r="M892" t="s">
        <v>19</v>
      </c>
      <c r="N892" t="s">
        <v>39</v>
      </c>
      <c r="O892" s="7">
        <f>الجدول1[[#This Row],[Discount]]*1</f>
        <v>0.21</v>
      </c>
      <c r="P892">
        <f>الجدول1[[#This Row],[Sales_Amount]]*(1-الجدول1[[#This Row],[Discount]])</f>
        <v>2857.9593</v>
      </c>
    </row>
    <row r="893" spans="1:16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 s="7">
        <v>0.04</v>
      </c>
      <c r="L893" t="s">
        <v>18</v>
      </c>
      <c r="M893" t="s">
        <v>19</v>
      </c>
      <c r="N893" t="s">
        <v>28</v>
      </c>
      <c r="O893" s="7">
        <f>الجدول1[[#This Row],[Discount]]*1</f>
        <v>0.04</v>
      </c>
      <c r="P893">
        <f>الجدول1[[#This Row],[Sales_Amount]]*(1-الجدول1[[#This Row],[Discount]])</f>
        <v>6501.6383999999998</v>
      </c>
    </row>
    <row r="894" spans="1:16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 s="7">
        <v>7.0000000000000007E-2</v>
      </c>
      <c r="L894" t="s">
        <v>18</v>
      </c>
      <c r="M894" t="s">
        <v>19</v>
      </c>
      <c r="N894" t="s">
        <v>50</v>
      </c>
      <c r="O894" s="7">
        <f>الجدول1[[#This Row],[Discount]]*1</f>
        <v>7.0000000000000007E-2</v>
      </c>
      <c r="P894">
        <f>الجدول1[[#This Row],[Sales_Amount]]*(1-الجدول1[[#This Row],[Discount]])</f>
        <v>669.03269999999998</v>
      </c>
    </row>
    <row r="895" spans="1:16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 s="7">
        <v>0.11</v>
      </c>
      <c r="L895" t="s">
        <v>18</v>
      </c>
      <c r="M895" t="s">
        <v>19</v>
      </c>
      <c r="N895" t="s">
        <v>37</v>
      </c>
      <c r="O895" s="7">
        <f>الجدول1[[#This Row],[Discount]]*1</f>
        <v>0.11</v>
      </c>
      <c r="P895">
        <f>الجدول1[[#This Row],[Sales_Amount]]*(1-الجدول1[[#This Row],[Discount]])</f>
        <v>1943.7778000000001</v>
      </c>
    </row>
    <row r="896" spans="1:16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 s="7">
        <v>0.23</v>
      </c>
      <c r="L896" t="s">
        <v>18</v>
      </c>
      <c r="M896" t="s">
        <v>22</v>
      </c>
      <c r="N896" t="s">
        <v>20</v>
      </c>
      <c r="O896" s="7">
        <f>الجدول1[[#This Row],[Discount]]*1</f>
        <v>0.23</v>
      </c>
      <c r="P896">
        <f>الجدول1[[#This Row],[Sales_Amount]]*(1-الجدول1[[#This Row],[Discount]])</f>
        <v>6244.1841000000004</v>
      </c>
    </row>
    <row r="897" spans="1:16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 s="7">
        <v>0.17</v>
      </c>
      <c r="L897" t="s">
        <v>27</v>
      </c>
      <c r="M897" t="s">
        <v>19</v>
      </c>
      <c r="N897" t="s">
        <v>36</v>
      </c>
      <c r="O897" s="7">
        <f>الجدول1[[#This Row],[Discount]]*1</f>
        <v>0.17</v>
      </c>
      <c r="P897">
        <f>الجدول1[[#This Row],[Sales_Amount]]*(1-الجدول1[[#This Row],[Discount]])</f>
        <v>1290.2599</v>
      </c>
    </row>
    <row r="898" spans="1:16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 s="7">
        <v>0.21</v>
      </c>
      <c r="L898" t="s">
        <v>31</v>
      </c>
      <c r="M898" t="s">
        <v>22</v>
      </c>
      <c r="N898" t="s">
        <v>36</v>
      </c>
      <c r="O898" s="7">
        <f>الجدول1[[#This Row],[Discount]]*1</f>
        <v>0.21</v>
      </c>
      <c r="P898">
        <f>الجدول1[[#This Row],[Sales_Amount]]*(1-الجدول1[[#This Row],[Discount]])</f>
        <v>2758.8301000000001</v>
      </c>
    </row>
    <row r="899" spans="1:16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 s="7">
        <v>0.17</v>
      </c>
      <c r="L899" t="s">
        <v>31</v>
      </c>
      <c r="M899" t="s">
        <v>19</v>
      </c>
      <c r="N899" t="s">
        <v>51</v>
      </c>
      <c r="O899" s="7">
        <f>الجدول1[[#This Row],[Discount]]*1</f>
        <v>0.17</v>
      </c>
      <c r="P899">
        <f>الجدول1[[#This Row],[Sales_Amount]]*(1-الجدول1[[#This Row],[Discount]])</f>
        <v>7187.8996000000006</v>
      </c>
    </row>
    <row r="900" spans="1:16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 s="7">
        <v>0.21</v>
      </c>
      <c r="L900" t="s">
        <v>31</v>
      </c>
      <c r="M900" t="s">
        <v>22</v>
      </c>
      <c r="N900" t="s">
        <v>39</v>
      </c>
      <c r="O900" s="7">
        <f>الجدول1[[#This Row],[Discount]]*1</f>
        <v>0.21</v>
      </c>
      <c r="P900">
        <f>الجدول1[[#This Row],[Sales_Amount]]*(1-الجدول1[[#This Row],[Discount]])</f>
        <v>1290.6704</v>
      </c>
    </row>
    <row r="901" spans="1:16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 s="7">
        <v>0</v>
      </c>
      <c r="L901" t="s">
        <v>31</v>
      </c>
      <c r="M901" t="s">
        <v>19</v>
      </c>
      <c r="N901" t="s">
        <v>47</v>
      </c>
      <c r="O901" s="7">
        <f>الجدول1[[#This Row],[Discount]]*1</f>
        <v>0</v>
      </c>
      <c r="P901">
        <f>الجدول1[[#This Row],[Sales_Amount]]*(1-الجدول1[[#This Row],[Discount]])</f>
        <v>919.09</v>
      </c>
    </row>
    <row r="902" spans="1:16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 s="7">
        <v>0.28000000000000003</v>
      </c>
      <c r="L902" t="s">
        <v>31</v>
      </c>
      <c r="M902" t="s">
        <v>22</v>
      </c>
      <c r="N902" t="s">
        <v>46</v>
      </c>
      <c r="O902" s="7">
        <f>الجدول1[[#This Row],[Discount]]*1</f>
        <v>0.28000000000000003</v>
      </c>
      <c r="P902">
        <f>الجدول1[[#This Row],[Sales_Amount]]*(1-الجدول1[[#This Row],[Discount]])</f>
        <v>3525.7896000000001</v>
      </c>
    </row>
    <row r="903" spans="1:16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 s="7">
        <v>0.03</v>
      </c>
      <c r="L903" t="s">
        <v>27</v>
      </c>
      <c r="M903" t="s">
        <v>22</v>
      </c>
      <c r="N903" t="s">
        <v>50</v>
      </c>
      <c r="O903" s="7">
        <f>الجدول1[[#This Row],[Discount]]*1</f>
        <v>0.03</v>
      </c>
      <c r="P903">
        <f>الجدول1[[#This Row],[Sales_Amount]]*(1-الجدول1[[#This Row],[Discount]])</f>
        <v>3001.1315</v>
      </c>
    </row>
    <row r="904" spans="1:16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 s="7">
        <v>0.12</v>
      </c>
      <c r="L904" t="s">
        <v>31</v>
      </c>
      <c r="M904" t="s">
        <v>22</v>
      </c>
      <c r="N904" t="s">
        <v>28</v>
      </c>
      <c r="O904" s="7">
        <f>الجدول1[[#This Row],[Discount]]*1</f>
        <v>0.12</v>
      </c>
      <c r="P904">
        <f>الجدول1[[#This Row],[Sales_Amount]]*(1-الجدول1[[#This Row],[Discount]])</f>
        <v>4996.4111999999996</v>
      </c>
    </row>
    <row r="905" spans="1:16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 s="7">
        <v>0.23</v>
      </c>
      <c r="L905" t="s">
        <v>27</v>
      </c>
      <c r="M905" t="s">
        <v>22</v>
      </c>
      <c r="N905" t="s">
        <v>39</v>
      </c>
      <c r="O905" s="7">
        <f>الجدول1[[#This Row],[Discount]]*1</f>
        <v>0.23</v>
      </c>
      <c r="P905">
        <f>الجدول1[[#This Row],[Sales_Amount]]*(1-الجدول1[[#This Row],[Discount]])</f>
        <v>6204.4058999999997</v>
      </c>
    </row>
    <row r="906" spans="1:16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 s="7">
        <v>0.13</v>
      </c>
      <c r="L906" t="s">
        <v>27</v>
      </c>
      <c r="M906" t="s">
        <v>22</v>
      </c>
      <c r="N906" t="s">
        <v>28</v>
      </c>
      <c r="O906" s="7">
        <f>الجدول1[[#This Row],[Discount]]*1</f>
        <v>0.13</v>
      </c>
      <c r="P906">
        <f>الجدول1[[#This Row],[Sales_Amount]]*(1-الجدول1[[#This Row],[Discount]])</f>
        <v>1268.2599</v>
      </c>
    </row>
    <row r="907" spans="1:16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 s="7">
        <v>0.28000000000000003</v>
      </c>
      <c r="L907" t="s">
        <v>31</v>
      </c>
      <c r="M907" t="s">
        <v>22</v>
      </c>
      <c r="N907" t="s">
        <v>47</v>
      </c>
      <c r="O907" s="7">
        <f>الجدول1[[#This Row],[Discount]]*1</f>
        <v>0.28000000000000003</v>
      </c>
      <c r="P907">
        <f>الجدول1[[#This Row],[Sales_Amount]]*(1-الجدول1[[#This Row],[Discount]])</f>
        <v>4211.2223999999997</v>
      </c>
    </row>
    <row r="908" spans="1:16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 s="7">
        <v>0.14000000000000001</v>
      </c>
      <c r="L908" t="s">
        <v>31</v>
      </c>
      <c r="M908" t="s">
        <v>22</v>
      </c>
      <c r="N908" t="s">
        <v>44</v>
      </c>
      <c r="O908" s="7">
        <f>الجدول1[[#This Row],[Discount]]*1</f>
        <v>0.14000000000000001</v>
      </c>
      <c r="P908">
        <f>الجدول1[[#This Row],[Sales_Amount]]*(1-الجدول1[[#This Row],[Discount]])</f>
        <v>4389.9044000000004</v>
      </c>
    </row>
    <row r="909" spans="1:16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 s="7">
        <v>0.26</v>
      </c>
      <c r="L909" t="s">
        <v>31</v>
      </c>
      <c r="M909" t="s">
        <v>22</v>
      </c>
      <c r="N909" t="s">
        <v>48</v>
      </c>
      <c r="O909" s="7">
        <f>الجدول1[[#This Row],[Discount]]*1</f>
        <v>0.26</v>
      </c>
      <c r="P909">
        <f>الجدول1[[#This Row],[Sales_Amount]]*(1-الجدول1[[#This Row],[Discount]])</f>
        <v>1129.5212000000001</v>
      </c>
    </row>
    <row r="910" spans="1:16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 s="7">
        <v>0.24</v>
      </c>
      <c r="L910" t="s">
        <v>18</v>
      </c>
      <c r="M910" t="s">
        <v>22</v>
      </c>
      <c r="N910" t="s">
        <v>52</v>
      </c>
      <c r="O910" s="7">
        <f>الجدول1[[#This Row],[Discount]]*1</f>
        <v>0.24</v>
      </c>
      <c r="P910">
        <f>الجدول1[[#This Row],[Sales_Amount]]*(1-الجدول1[[#This Row],[Discount]])</f>
        <v>4770.9683999999997</v>
      </c>
    </row>
    <row r="911" spans="1:16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 s="7">
        <v>0.28999999999999998</v>
      </c>
      <c r="L911" t="s">
        <v>27</v>
      </c>
      <c r="M911" t="s">
        <v>22</v>
      </c>
      <c r="N911" t="s">
        <v>20</v>
      </c>
      <c r="O911" s="7">
        <f>الجدول1[[#This Row],[Discount]]*1</f>
        <v>0.28999999999999998</v>
      </c>
      <c r="P911">
        <f>الجدول1[[#This Row],[Sales_Amount]]*(1-الجدول1[[#This Row],[Discount]])</f>
        <v>1994.4183999999998</v>
      </c>
    </row>
    <row r="912" spans="1:16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 s="7">
        <v>0.28000000000000003</v>
      </c>
      <c r="L912" t="s">
        <v>31</v>
      </c>
      <c r="M912" t="s">
        <v>19</v>
      </c>
      <c r="N912" t="s">
        <v>47</v>
      </c>
      <c r="O912" s="7">
        <f>الجدول1[[#This Row],[Discount]]*1</f>
        <v>0.28000000000000003</v>
      </c>
      <c r="P912">
        <f>الجدول1[[#This Row],[Sales_Amount]]*(1-الجدول1[[#This Row],[Discount]])</f>
        <v>3549.2832000000003</v>
      </c>
    </row>
    <row r="913" spans="1:16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 s="7">
        <v>0.27</v>
      </c>
      <c r="L913" t="s">
        <v>18</v>
      </c>
      <c r="M913" t="s">
        <v>22</v>
      </c>
      <c r="N913" t="s">
        <v>20</v>
      </c>
      <c r="O913" s="7">
        <f>الجدول1[[#This Row],[Discount]]*1</f>
        <v>0.27</v>
      </c>
      <c r="P913">
        <f>الجدول1[[#This Row],[Sales_Amount]]*(1-الجدول1[[#This Row],[Discount]])</f>
        <v>667.58500000000004</v>
      </c>
    </row>
    <row r="914" spans="1:16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 s="7">
        <v>0.22</v>
      </c>
      <c r="L914" t="s">
        <v>27</v>
      </c>
      <c r="M914" t="s">
        <v>22</v>
      </c>
      <c r="N914" t="s">
        <v>52</v>
      </c>
      <c r="O914" s="7">
        <f>الجدول1[[#This Row],[Discount]]*1</f>
        <v>0.22</v>
      </c>
      <c r="P914">
        <f>الجدول1[[#This Row],[Sales_Amount]]*(1-الجدول1[[#This Row],[Discount]])</f>
        <v>3626.9064000000003</v>
      </c>
    </row>
    <row r="915" spans="1:16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 s="7">
        <v>0.11</v>
      </c>
      <c r="L915" t="s">
        <v>18</v>
      </c>
      <c r="M915" t="s">
        <v>19</v>
      </c>
      <c r="N915" t="s">
        <v>20</v>
      </c>
      <c r="O915" s="7">
        <f>الجدول1[[#This Row],[Discount]]*1</f>
        <v>0.11</v>
      </c>
      <c r="P915">
        <f>الجدول1[[#This Row],[Sales_Amount]]*(1-الجدول1[[#This Row],[Discount]])</f>
        <v>2789.2511</v>
      </c>
    </row>
    <row r="916" spans="1:16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 s="7">
        <v>0.03</v>
      </c>
      <c r="L916" t="s">
        <v>18</v>
      </c>
      <c r="M916" t="s">
        <v>22</v>
      </c>
      <c r="N916" t="s">
        <v>52</v>
      </c>
      <c r="O916" s="7">
        <f>الجدول1[[#This Row],[Discount]]*1</f>
        <v>0.03</v>
      </c>
      <c r="P916">
        <f>الجدول1[[#This Row],[Sales_Amount]]*(1-الجدول1[[#This Row],[Discount]])</f>
        <v>7994.3228999999992</v>
      </c>
    </row>
    <row r="917" spans="1:16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 s="7">
        <v>0.21</v>
      </c>
      <c r="L917" t="s">
        <v>31</v>
      </c>
      <c r="M917" t="s">
        <v>22</v>
      </c>
      <c r="N917" t="s">
        <v>53</v>
      </c>
      <c r="O917" s="7">
        <f>الجدول1[[#This Row],[Discount]]*1</f>
        <v>0.21</v>
      </c>
      <c r="P917">
        <f>الجدول1[[#This Row],[Sales_Amount]]*(1-الجدول1[[#This Row],[Discount]])</f>
        <v>524.63110000000006</v>
      </c>
    </row>
    <row r="918" spans="1:16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 s="7">
        <v>0.28999999999999998</v>
      </c>
      <c r="L918" t="s">
        <v>27</v>
      </c>
      <c r="M918" t="s">
        <v>19</v>
      </c>
      <c r="N918" t="s">
        <v>28</v>
      </c>
      <c r="O918" s="7">
        <f>الجدول1[[#This Row],[Discount]]*1</f>
        <v>0.28999999999999998</v>
      </c>
      <c r="P918">
        <f>الجدول1[[#This Row],[Sales_Amount]]*(1-الجدول1[[#This Row],[Discount]])</f>
        <v>3013.3890999999999</v>
      </c>
    </row>
    <row r="919" spans="1:16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 s="7">
        <v>0.22</v>
      </c>
      <c r="L919" t="s">
        <v>18</v>
      </c>
      <c r="M919" t="s">
        <v>19</v>
      </c>
      <c r="N919" t="s">
        <v>49</v>
      </c>
      <c r="O919" s="7">
        <f>الجدول1[[#This Row],[Discount]]*1</f>
        <v>0.22</v>
      </c>
      <c r="P919">
        <f>الجدول1[[#This Row],[Sales_Amount]]*(1-الجدول1[[#This Row],[Discount]])</f>
        <v>3618.0066000000002</v>
      </c>
    </row>
    <row r="920" spans="1:16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 s="7">
        <v>0.28000000000000003</v>
      </c>
      <c r="L920" t="s">
        <v>27</v>
      </c>
      <c r="M920" t="s">
        <v>22</v>
      </c>
      <c r="N920" t="s">
        <v>32</v>
      </c>
      <c r="O920" s="7">
        <f>الجدول1[[#This Row],[Discount]]*1</f>
        <v>0.28000000000000003</v>
      </c>
      <c r="P920">
        <f>الجدول1[[#This Row],[Sales_Amount]]*(1-الجدول1[[#This Row],[Discount]])</f>
        <v>5239.8432000000003</v>
      </c>
    </row>
    <row r="921" spans="1:16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 s="7">
        <v>0.24</v>
      </c>
      <c r="L921" t="s">
        <v>31</v>
      </c>
      <c r="M921" t="s">
        <v>19</v>
      </c>
      <c r="N921" t="s">
        <v>28</v>
      </c>
      <c r="O921" s="7">
        <f>الجدول1[[#This Row],[Discount]]*1</f>
        <v>0.24</v>
      </c>
      <c r="P921">
        <f>الجدول1[[#This Row],[Sales_Amount]]*(1-الجدول1[[#This Row],[Discount]])</f>
        <v>4396.942</v>
      </c>
    </row>
    <row r="922" spans="1:16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 s="7">
        <v>0.05</v>
      </c>
      <c r="L922" t="s">
        <v>27</v>
      </c>
      <c r="M922" t="s">
        <v>22</v>
      </c>
      <c r="N922" t="s">
        <v>37</v>
      </c>
      <c r="O922" s="7">
        <f>الجدول1[[#This Row],[Discount]]*1</f>
        <v>0.05</v>
      </c>
      <c r="P922">
        <f>الجدول1[[#This Row],[Sales_Amount]]*(1-الجدول1[[#This Row],[Discount]])</f>
        <v>6370.1299999999992</v>
      </c>
    </row>
    <row r="923" spans="1:16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 s="7">
        <v>7.0000000000000007E-2</v>
      </c>
      <c r="L923" t="s">
        <v>18</v>
      </c>
      <c r="M923" t="s">
        <v>22</v>
      </c>
      <c r="N923" t="s">
        <v>28</v>
      </c>
      <c r="O923" s="7">
        <f>الجدول1[[#This Row],[Discount]]*1</f>
        <v>7.0000000000000007E-2</v>
      </c>
      <c r="P923">
        <f>الجدول1[[#This Row],[Sales_Amount]]*(1-الجدول1[[#This Row],[Discount]])</f>
        <v>7247.2946999999995</v>
      </c>
    </row>
    <row r="924" spans="1:16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 s="7">
        <v>0.1</v>
      </c>
      <c r="L924" t="s">
        <v>18</v>
      </c>
      <c r="M924" t="s">
        <v>22</v>
      </c>
      <c r="N924" t="s">
        <v>43</v>
      </c>
      <c r="O924" s="7">
        <f>الجدول1[[#This Row],[Discount]]*1</f>
        <v>0.1</v>
      </c>
      <c r="P924">
        <f>الجدول1[[#This Row],[Sales_Amount]]*(1-الجدول1[[#This Row],[Discount]])</f>
        <v>7772.2289999999994</v>
      </c>
    </row>
    <row r="925" spans="1:16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 s="7">
        <v>0.05</v>
      </c>
      <c r="L925" t="s">
        <v>27</v>
      </c>
      <c r="M925" t="s">
        <v>19</v>
      </c>
      <c r="N925" t="s">
        <v>53</v>
      </c>
      <c r="O925" s="7">
        <f>الجدول1[[#This Row],[Discount]]*1</f>
        <v>0.05</v>
      </c>
      <c r="P925">
        <f>الجدول1[[#This Row],[Sales_Amount]]*(1-الجدول1[[#This Row],[Discount]])</f>
        <v>3047.0014999999999</v>
      </c>
    </row>
    <row r="926" spans="1:16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 s="7">
        <v>0.17</v>
      </c>
      <c r="L926" t="s">
        <v>18</v>
      </c>
      <c r="M926" t="s">
        <v>22</v>
      </c>
      <c r="N926" t="s">
        <v>46</v>
      </c>
      <c r="O926" s="7">
        <f>الجدول1[[#This Row],[Discount]]*1</f>
        <v>0.17</v>
      </c>
      <c r="P926">
        <f>الجدول1[[#This Row],[Sales_Amount]]*(1-الجدول1[[#This Row],[Discount]])</f>
        <v>4503.9286000000002</v>
      </c>
    </row>
    <row r="927" spans="1:16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 s="7">
        <v>0.28999999999999998</v>
      </c>
      <c r="L927" t="s">
        <v>18</v>
      </c>
      <c r="M927" t="s">
        <v>22</v>
      </c>
      <c r="N927" t="s">
        <v>37</v>
      </c>
      <c r="O927" s="7">
        <f>الجدول1[[#This Row],[Discount]]*1</f>
        <v>0.28999999999999998</v>
      </c>
      <c r="P927">
        <f>الجدول1[[#This Row],[Sales_Amount]]*(1-الجدول1[[#This Row],[Discount]])</f>
        <v>5976.1196999999993</v>
      </c>
    </row>
    <row r="928" spans="1:16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 s="7">
        <v>0.23</v>
      </c>
      <c r="L928" t="s">
        <v>18</v>
      </c>
      <c r="M928" t="s">
        <v>19</v>
      </c>
      <c r="N928" t="s">
        <v>44</v>
      </c>
      <c r="O928" s="7">
        <f>الجدول1[[#This Row],[Discount]]*1</f>
        <v>0.23</v>
      </c>
      <c r="P928">
        <f>الجدول1[[#This Row],[Sales_Amount]]*(1-الجدول1[[#This Row],[Discount]])</f>
        <v>7619.5888999999997</v>
      </c>
    </row>
    <row r="929" spans="1:16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 s="7">
        <v>0.13</v>
      </c>
      <c r="L929" t="s">
        <v>31</v>
      </c>
      <c r="M929" t="s">
        <v>22</v>
      </c>
      <c r="N929" t="s">
        <v>41</v>
      </c>
      <c r="O929" s="7">
        <f>الجدول1[[#This Row],[Discount]]*1</f>
        <v>0.13</v>
      </c>
      <c r="P929">
        <f>الجدول1[[#This Row],[Sales_Amount]]*(1-الجدول1[[#This Row],[Discount]])</f>
        <v>7748.4287999999997</v>
      </c>
    </row>
    <row r="930" spans="1:16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 s="7">
        <v>0</v>
      </c>
      <c r="L930" t="s">
        <v>31</v>
      </c>
      <c r="M930" t="s">
        <v>22</v>
      </c>
      <c r="N930" t="s">
        <v>53</v>
      </c>
      <c r="O930" s="7">
        <f>الجدول1[[#This Row],[Discount]]*1</f>
        <v>0</v>
      </c>
      <c r="P930">
        <f>الجدول1[[#This Row],[Sales_Amount]]*(1-الجدول1[[#This Row],[Discount]])</f>
        <v>3777.53</v>
      </c>
    </row>
    <row r="931" spans="1:16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 s="7">
        <v>0.09</v>
      </c>
      <c r="L931" t="s">
        <v>18</v>
      </c>
      <c r="M931" t="s">
        <v>22</v>
      </c>
      <c r="N931" t="s">
        <v>44</v>
      </c>
      <c r="O931" s="7">
        <f>الجدول1[[#This Row],[Discount]]*1</f>
        <v>0.09</v>
      </c>
      <c r="P931">
        <f>الجدول1[[#This Row],[Sales_Amount]]*(1-الجدول1[[#This Row],[Discount]])</f>
        <v>1849.2565000000002</v>
      </c>
    </row>
    <row r="932" spans="1:16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 s="7">
        <v>0.16</v>
      </c>
      <c r="L932" t="s">
        <v>27</v>
      </c>
      <c r="M932" t="s">
        <v>22</v>
      </c>
      <c r="N932" t="s">
        <v>45</v>
      </c>
      <c r="O932" s="7">
        <f>الجدول1[[#This Row],[Discount]]*1</f>
        <v>0.16</v>
      </c>
      <c r="P932">
        <f>الجدول1[[#This Row],[Sales_Amount]]*(1-الجدول1[[#This Row],[Discount]])</f>
        <v>4153.7915999999996</v>
      </c>
    </row>
    <row r="933" spans="1:16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 s="7">
        <v>0.1</v>
      </c>
      <c r="L933" t="s">
        <v>31</v>
      </c>
      <c r="M933" t="s">
        <v>22</v>
      </c>
      <c r="N933" t="s">
        <v>23</v>
      </c>
      <c r="O933" s="7">
        <f>الجدول1[[#This Row],[Discount]]*1</f>
        <v>0.1</v>
      </c>
      <c r="P933">
        <f>الجدول1[[#This Row],[Sales_Amount]]*(1-الجدول1[[#This Row],[Discount]])</f>
        <v>6698.0250000000005</v>
      </c>
    </row>
    <row r="934" spans="1:16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 s="7">
        <v>0.03</v>
      </c>
      <c r="L934" t="s">
        <v>27</v>
      </c>
      <c r="M934" t="s">
        <v>22</v>
      </c>
      <c r="N934" t="s">
        <v>45</v>
      </c>
      <c r="O934" s="7">
        <f>الجدول1[[#This Row],[Discount]]*1</f>
        <v>0.03</v>
      </c>
      <c r="P934">
        <f>الجدول1[[#This Row],[Sales_Amount]]*(1-الجدول1[[#This Row],[Discount]])</f>
        <v>4827.1370999999999</v>
      </c>
    </row>
    <row r="935" spans="1:16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 s="7">
        <v>0.13</v>
      </c>
      <c r="L935" t="s">
        <v>18</v>
      </c>
      <c r="M935" t="s">
        <v>19</v>
      </c>
      <c r="N935" t="s">
        <v>47</v>
      </c>
      <c r="O935" s="7">
        <f>الجدول1[[#This Row],[Discount]]*1</f>
        <v>0.13</v>
      </c>
      <c r="P935">
        <f>الجدول1[[#This Row],[Sales_Amount]]*(1-الجدول1[[#This Row],[Discount]])</f>
        <v>4248.6363000000001</v>
      </c>
    </row>
    <row r="936" spans="1:16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 s="7">
        <v>0.08</v>
      </c>
      <c r="L936" t="s">
        <v>18</v>
      </c>
      <c r="M936" t="s">
        <v>22</v>
      </c>
      <c r="N936" t="s">
        <v>49</v>
      </c>
      <c r="O936" s="7">
        <f>الجدول1[[#This Row],[Discount]]*1</f>
        <v>0.08</v>
      </c>
      <c r="P936">
        <f>الجدول1[[#This Row],[Sales_Amount]]*(1-الجدول1[[#This Row],[Discount]])</f>
        <v>7726.6016</v>
      </c>
    </row>
    <row r="937" spans="1:16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 s="7">
        <v>0.27</v>
      </c>
      <c r="L937" t="s">
        <v>27</v>
      </c>
      <c r="M937" t="s">
        <v>22</v>
      </c>
      <c r="N937" t="s">
        <v>47</v>
      </c>
      <c r="O937" s="7">
        <f>الجدول1[[#This Row],[Discount]]*1</f>
        <v>0.27</v>
      </c>
      <c r="P937">
        <f>الجدول1[[#This Row],[Sales_Amount]]*(1-الجدول1[[#This Row],[Discount]])</f>
        <v>2684.8670000000002</v>
      </c>
    </row>
    <row r="938" spans="1:16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 s="7">
        <v>0.03</v>
      </c>
      <c r="L938" t="s">
        <v>31</v>
      </c>
      <c r="M938" t="s">
        <v>19</v>
      </c>
      <c r="N938" t="s">
        <v>48</v>
      </c>
      <c r="O938" s="7">
        <f>الجدول1[[#This Row],[Discount]]*1</f>
        <v>0.03</v>
      </c>
      <c r="P938">
        <f>الجدول1[[#This Row],[Sales_Amount]]*(1-الجدول1[[#This Row],[Discount]])</f>
        <v>8353.6108999999997</v>
      </c>
    </row>
    <row r="939" spans="1:16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 s="7">
        <v>0.01</v>
      </c>
      <c r="L939" t="s">
        <v>27</v>
      </c>
      <c r="M939" t="s">
        <v>22</v>
      </c>
      <c r="N939" t="s">
        <v>40</v>
      </c>
      <c r="O939" s="7">
        <f>الجدول1[[#This Row],[Discount]]*1</f>
        <v>0.01</v>
      </c>
      <c r="P939">
        <f>الجدول1[[#This Row],[Sales_Amount]]*(1-الجدول1[[#This Row],[Discount]])</f>
        <v>4086.0962999999997</v>
      </c>
    </row>
    <row r="940" spans="1:16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 s="7">
        <v>0</v>
      </c>
      <c r="L940" t="s">
        <v>27</v>
      </c>
      <c r="M940" t="s">
        <v>22</v>
      </c>
      <c r="N940" t="s">
        <v>49</v>
      </c>
      <c r="O940" s="7">
        <f>الجدول1[[#This Row],[Discount]]*1</f>
        <v>0</v>
      </c>
      <c r="P940">
        <f>الجدول1[[#This Row],[Sales_Amount]]*(1-الجدول1[[#This Row],[Discount]])</f>
        <v>3349.51</v>
      </c>
    </row>
    <row r="941" spans="1:16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 s="7">
        <v>0.1</v>
      </c>
      <c r="L941" t="s">
        <v>18</v>
      </c>
      <c r="M941" t="s">
        <v>19</v>
      </c>
      <c r="N941" t="s">
        <v>46</v>
      </c>
      <c r="O941" s="7">
        <f>الجدول1[[#This Row],[Discount]]*1</f>
        <v>0.1</v>
      </c>
      <c r="P941">
        <f>الجدول1[[#This Row],[Sales_Amount]]*(1-الجدول1[[#This Row],[Discount]])</f>
        <v>4135.05</v>
      </c>
    </row>
    <row r="942" spans="1:16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 s="7">
        <v>0.2</v>
      </c>
      <c r="L942" t="s">
        <v>31</v>
      </c>
      <c r="M942" t="s">
        <v>19</v>
      </c>
      <c r="N942" t="s">
        <v>46</v>
      </c>
      <c r="O942" s="7">
        <f>الجدول1[[#This Row],[Discount]]*1</f>
        <v>0.2</v>
      </c>
      <c r="P942">
        <f>الجدول1[[#This Row],[Sales_Amount]]*(1-الجدول1[[#This Row],[Discount]])</f>
        <v>6118.5760000000009</v>
      </c>
    </row>
    <row r="943" spans="1:16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 s="7">
        <v>0.22</v>
      </c>
      <c r="L943" t="s">
        <v>27</v>
      </c>
      <c r="M943" t="s">
        <v>19</v>
      </c>
      <c r="N943" t="s">
        <v>45</v>
      </c>
      <c r="O943" s="7">
        <f>الجدول1[[#This Row],[Discount]]*1</f>
        <v>0.22</v>
      </c>
      <c r="P943">
        <f>الجدول1[[#This Row],[Sales_Amount]]*(1-الجدول1[[#This Row],[Discount]])</f>
        <v>1050.9876000000002</v>
      </c>
    </row>
    <row r="944" spans="1:16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 s="7">
        <v>0.14000000000000001</v>
      </c>
      <c r="L944" t="s">
        <v>31</v>
      </c>
      <c r="M944" t="s">
        <v>19</v>
      </c>
      <c r="N944" t="s">
        <v>50</v>
      </c>
      <c r="O944" s="7">
        <f>الجدول1[[#This Row],[Discount]]*1</f>
        <v>0.14000000000000001</v>
      </c>
      <c r="P944">
        <f>الجدول1[[#This Row],[Sales_Amount]]*(1-الجدول1[[#This Row],[Discount]])</f>
        <v>1758.3129999999999</v>
      </c>
    </row>
    <row r="945" spans="1:16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 s="7">
        <v>0.21</v>
      </c>
      <c r="L945" t="s">
        <v>18</v>
      </c>
      <c r="M945" t="s">
        <v>19</v>
      </c>
      <c r="N945" t="s">
        <v>28</v>
      </c>
      <c r="O945" s="7">
        <f>الجدول1[[#This Row],[Discount]]*1</f>
        <v>0.21</v>
      </c>
      <c r="P945">
        <f>الجدول1[[#This Row],[Sales_Amount]]*(1-الجدول1[[#This Row],[Discount]])</f>
        <v>7520.2469999999994</v>
      </c>
    </row>
    <row r="946" spans="1:16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 s="7">
        <v>0.11</v>
      </c>
      <c r="L946" t="s">
        <v>31</v>
      </c>
      <c r="M946" t="s">
        <v>19</v>
      </c>
      <c r="N946" t="s">
        <v>23</v>
      </c>
      <c r="O946" s="7">
        <f>الجدول1[[#This Row],[Discount]]*1</f>
        <v>0.11</v>
      </c>
      <c r="P946">
        <f>الجدول1[[#This Row],[Sales_Amount]]*(1-الجدول1[[#This Row],[Discount]])</f>
        <v>1635.2592999999999</v>
      </c>
    </row>
    <row r="947" spans="1:16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 s="7">
        <v>0.2</v>
      </c>
      <c r="L947" t="s">
        <v>18</v>
      </c>
      <c r="M947" t="s">
        <v>19</v>
      </c>
      <c r="N947" t="s">
        <v>37</v>
      </c>
      <c r="O947" s="7">
        <f>الجدول1[[#This Row],[Discount]]*1</f>
        <v>0.2</v>
      </c>
      <c r="P947">
        <f>الجدول1[[#This Row],[Sales_Amount]]*(1-الجدول1[[#This Row],[Discount]])</f>
        <v>4576.4000000000005</v>
      </c>
    </row>
    <row r="948" spans="1:16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 s="7">
        <v>0.01</v>
      </c>
      <c r="L948" t="s">
        <v>31</v>
      </c>
      <c r="M948" t="s">
        <v>22</v>
      </c>
      <c r="N948" t="s">
        <v>41</v>
      </c>
      <c r="O948" s="7">
        <f>الجدول1[[#This Row],[Discount]]*1</f>
        <v>0.01</v>
      </c>
      <c r="P948">
        <f>الجدول1[[#This Row],[Sales_Amount]]*(1-الجدول1[[#This Row],[Discount]])</f>
        <v>5776.8579</v>
      </c>
    </row>
    <row r="949" spans="1:16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 s="7">
        <v>0.12</v>
      </c>
      <c r="L949" t="s">
        <v>27</v>
      </c>
      <c r="M949" t="s">
        <v>22</v>
      </c>
      <c r="N949" t="s">
        <v>44</v>
      </c>
      <c r="O949" s="7">
        <f>الجدول1[[#This Row],[Discount]]*1</f>
        <v>0.12</v>
      </c>
      <c r="P949">
        <f>الجدول1[[#This Row],[Sales_Amount]]*(1-الجدول1[[#This Row],[Discount]])</f>
        <v>4353.6063999999997</v>
      </c>
    </row>
    <row r="950" spans="1:16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 s="7">
        <v>0.24</v>
      </c>
      <c r="L950" t="s">
        <v>18</v>
      </c>
      <c r="M950" t="s">
        <v>22</v>
      </c>
      <c r="N950" t="s">
        <v>36</v>
      </c>
      <c r="O950" s="7">
        <f>الجدول1[[#This Row],[Discount]]*1</f>
        <v>0.24</v>
      </c>
      <c r="P950">
        <f>الجدول1[[#This Row],[Sales_Amount]]*(1-الجدول1[[#This Row],[Discount]])</f>
        <v>4927.0648000000001</v>
      </c>
    </row>
    <row r="951" spans="1:16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 s="7">
        <v>0.24</v>
      </c>
      <c r="L951" t="s">
        <v>27</v>
      </c>
      <c r="M951" t="s">
        <v>19</v>
      </c>
      <c r="N951" t="s">
        <v>46</v>
      </c>
      <c r="O951" s="7">
        <f>الجدول1[[#This Row],[Discount]]*1</f>
        <v>0.24</v>
      </c>
      <c r="P951">
        <f>الجدول1[[#This Row],[Sales_Amount]]*(1-الجدول1[[#This Row],[Discount]])</f>
        <v>1805.2128000000002</v>
      </c>
    </row>
    <row r="952" spans="1:16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 s="7">
        <v>0.21</v>
      </c>
      <c r="L952" t="s">
        <v>18</v>
      </c>
      <c r="M952" t="s">
        <v>22</v>
      </c>
      <c r="N952" t="s">
        <v>53</v>
      </c>
      <c r="O952" s="7">
        <f>الجدول1[[#This Row],[Discount]]*1</f>
        <v>0.21</v>
      </c>
      <c r="P952">
        <f>الجدول1[[#This Row],[Sales_Amount]]*(1-الجدول1[[#This Row],[Discount]])</f>
        <v>4401.3743999999997</v>
      </c>
    </row>
    <row r="953" spans="1:16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 s="7">
        <v>0.06</v>
      </c>
      <c r="L953" t="s">
        <v>31</v>
      </c>
      <c r="M953" t="s">
        <v>19</v>
      </c>
      <c r="N953" t="s">
        <v>52</v>
      </c>
      <c r="O953" s="7">
        <f>الجدول1[[#This Row],[Discount]]*1</f>
        <v>0.06</v>
      </c>
      <c r="P953">
        <f>الجدول1[[#This Row],[Sales_Amount]]*(1-الجدول1[[#This Row],[Discount]])</f>
        <v>3557.4487999999997</v>
      </c>
    </row>
    <row r="954" spans="1:16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 s="7">
        <v>7.0000000000000007E-2</v>
      </c>
      <c r="L954" t="s">
        <v>31</v>
      </c>
      <c r="M954" t="s">
        <v>22</v>
      </c>
      <c r="N954" t="s">
        <v>45</v>
      </c>
      <c r="O954" s="7">
        <f>الجدول1[[#This Row],[Discount]]*1</f>
        <v>7.0000000000000007E-2</v>
      </c>
      <c r="P954">
        <f>الجدول1[[#This Row],[Sales_Amount]]*(1-الجدول1[[#This Row],[Discount]])</f>
        <v>6184.9742999999999</v>
      </c>
    </row>
    <row r="955" spans="1:16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 s="7">
        <v>0.3</v>
      </c>
      <c r="L955" t="s">
        <v>18</v>
      </c>
      <c r="M955" t="s">
        <v>22</v>
      </c>
      <c r="N955" t="s">
        <v>43</v>
      </c>
      <c r="O955" s="7">
        <f>الجدول1[[#This Row],[Discount]]*1</f>
        <v>0.3</v>
      </c>
      <c r="P955">
        <f>الجدول1[[#This Row],[Sales_Amount]]*(1-الجدول1[[#This Row],[Discount]])</f>
        <v>1048.6769999999999</v>
      </c>
    </row>
    <row r="956" spans="1:16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 s="7">
        <v>0.03</v>
      </c>
      <c r="L956" t="s">
        <v>18</v>
      </c>
      <c r="M956" t="s">
        <v>22</v>
      </c>
      <c r="N956" t="s">
        <v>41</v>
      </c>
      <c r="O956" s="7">
        <f>الجدول1[[#This Row],[Discount]]*1</f>
        <v>0.03</v>
      </c>
      <c r="P956">
        <f>الجدول1[[#This Row],[Sales_Amount]]*(1-الجدول1[[#This Row],[Discount]])</f>
        <v>5579.1392999999998</v>
      </c>
    </row>
    <row r="957" spans="1:16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 s="7">
        <v>0.05</v>
      </c>
      <c r="L957" t="s">
        <v>18</v>
      </c>
      <c r="M957" t="s">
        <v>22</v>
      </c>
      <c r="N957" t="s">
        <v>47</v>
      </c>
      <c r="O957" s="7">
        <f>الجدول1[[#This Row],[Discount]]*1</f>
        <v>0.05</v>
      </c>
      <c r="P957">
        <f>الجدول1[[#This Row],[Sales_Amount]]*(1-الجدول1[[#This Row],[Discount]])</f>
        <v>1837.471</v>
      </c>
    </row>
    <row r="958" spans="1:16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 s="7">
        <v>0.04</v>
      </c>
      <c r="L958" t="s">
        <v>31</v>
      </c>
      <c r="M958" t="s">
        <v>19</v>
      </c>
      <c r="N958" t="s">
        <v>37</v>
      </c>
      <c r="O958" s="7">
        <f>الجدول1[[#This Row],[Discount]]*1</f>
        <v>0.04</v>
      </c>
      <c r="P958">
        <f>الجدول1[[#This Row],[Sales_Amount]]*(1-الجدول1[[#This Row],[Discount]])</f>
        <v>2744.2272000000003</v>
      </c>
    </row>
    <row r="959" spans="1:16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 s="7">
        <v>0.1</v>
      </c>
      <c r="L959" t="s">
        <v>18</v>
      </c>
      <c r="M959" t="s">
        <v>19</v>
      </c>
      <c r="N959" t="s">
        <v>48</v>
      </c>
      <c r="O959" s="7">
        <f>الجدول1[[#This Row],[Discount]]*1</f>
        <v>0.1</v>
      </c>
      <c r="P959">
        <f>الجدول1[[#This Row],[Sales_Amount]]*(1-الجدول1[[#This Row],[Discount]])</f>
        <v>2038.7070000000001</v>
      </c>
    </row>
    <row r="960" spans="1:16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 s="7">
        <v>0.06</v>
      </c>
      <c r="L960" t="s">
        <v>18</v>
      </c>
      <c r="M960" t="s">
        <v>22</v>
      </c>
      <c r="N960" t="s">
        <v>45</v>
      </c>
      <c r="O960" s="7">
        <f>الجدول1[[#This Row],[Discount]]*1</f>
        <v>0.06</v>
      </c>
      <c r="P960">
        <f>الجدول1[[#This Row],[Sales_Amount]]*(1-الجدول1[[#This Row],[Discount]])</f>
        <v>1795.4845999999998</v>
      </c>
    </row>
    <row r="961" spans="1:16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 s="7">
        <v>0.15</v>
      </c>
      <c r="L961" t="s">
        <v>27</v>
      </c>
      <c r="M961" t="s">
        <v>19</v>
      </c>
      <c r="N961" t="s">
        <v>53</v>
      </c>
      <c r="O961" s="7">
        <f>الجدول1[[#This Row],[Discount]]*1</f>
        <v>0.15</v>
      </c>
      <c r="P961">
        <f>الجدول1[[#This Row],[Sales_Amount]]*(1-الجدول1[[#This Row],[Discount]])</f>
        <v>7033.3590000000004</v>
      </c>
    </row>
    <row r="962" spans="1:16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 s="7">
        <v>0.14000000000000001</v>
      </c>
      <c r="L962" t="s">
        <v>18</v>
      </c>
      <c r="M962" t="s">
        <v>19</v>
      </c>
      <c r="N962" t="s">
        <v>43</v>
      </c>
      <c r="O962" s="7">
        <f>الجدول1[[#This Row],[Discount]]*1</f>
        <v>0.14000000000000001</v>
      </c>
      <c r="P962">
        <f>الجدول1[[#This Row],[Sales_Amount]]*(1-الجدول1[[#This Row],[Discount]])</f>
        <v>2518.5099999999998</v>
      </c>
    </row>
    <row r="963" spans="1:16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 s="7">
        <v>0.27</v>
      </c>
      <c r="L963" t="s">
        <v>27</v>
      </c>
      <c r="M963" t="s">
        <v>22</v>
      </c>
      <c r="N963" t="s">
        <v>50</v>
      </c>
      <c r="O963" s="7">
        <f>الجدول1[[#This Row],[Discount]]*1</f>
        <v>0.27</v>
      </c>
      <c r="P963">
        <f>الجدول1[[#This Row],[Sales_Amount]]*(1-الجدول1[[#This Row],[Discount]])</f>
        <v>6773.3269</v>
      </c>
    </row>
    <row r="964" spans="1:16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 s="7">
        <v>0.01</v>
      </c>
      <c r="L964" t="s">
        <v>27</v>
      </c>
      <c r="M964" t="s">
        <v>19</v>
      </c>
      <c r="N964" t="s">
        <v>44</v>
      </c>
      <c r="O964" s="7">
        <f>الجدول1[[#This Row],[Discount]]*1</f>
        <v>0.01</v>
      </c>
      <c r="P964">
        <f>الجدول1[[#This Row],[Sales_Amount]]*(1-الجدول1[[#This Row],[Discount]])</f>
        <v>9605.2473000000009</v>
      </c>
    </row>
    <row r="965" spans="1:16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 s="7">
        <v>0.1</v>
      </c>
      <c r="L965" t="s">
        <v>27</v>
      </c>
      <c r="M965" t="s">
        <v>19</v>
      </c>
      <c r="N965" t="s">
        <v>49</v>
      </c>
      <c r="O965" s="7">
        <f>الجدول1[[#This Row],[Discount]]*1</f>
        <v>0.1</v>
      </c>
      <c r="P965">
        <f>الجدول1[[#This Row],[Sales_Amount]]*(1-الجدول1[[#This Row],[Discount]])</f>
        <v>5179.9319999999998</v>
      </c>
    </row>
    <row r="966" spans="1:16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 s="7">
        <v>0.18</v>
      </c>
      <c r="L966" t="s">
        <v>31</v>
      </c>
      <c r="M966" t="s">
        <v>19</v>
      </c>
      <c r="N966" t="s">
        <v>40</v>
      </c>
      <c r="O966" s="7">
        <f>الجدول1[[#This Row],[Discount]]*1</f>
        <v>0.18</v>
      </c>
      <c r="P966">
        <f>الجدول1[[#This Row],[Sales_Amount]]*(1-الجدول1[[#This Row],[Discount]])</f>
        <v>1242.8822</v>
      </c>
    </row>
    <row r="967" spans="1:16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 s="7">
        <v>0.18</v>
      </c>
      <c r="L967" t="s">
        <v>27</v>
      </c>
      <c r="M967" t="s">
        <v>19</v>
      </c>
      <c r="N967" t="s">
        <v>41</v>
      </c>
      <c r="O967" s="7">
        <f>الجدول1[[#This Row],[Discount]]*1</f>
        <v>0.18</v>
      </c>
      <c r="P967">
        <f>الجدول1[[#This Row],[Sales_Amount]]*(1-الجدول1[[#This Row],[Discount]])</f>
        <v>3122.5846000000006</v>
      </c>
    </row>
    <row r="968" spans="1:16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 s="7">
        <v>0.14000000000000001</v>
      </c>
      <c r="L968" t="s">
        <v>18</v>
      </c>
      <c r="M968" t="s">
        <v>22</v>
      </c>
      <c r="N968" t="s">
        <v>48</v>
      </c>
      <c r="O968" s="7">
        <f>الجدول1[[#This Row],[Discount]]*1</f>
        <v>0.14000000000000001</v>
      </c>
      <c r="P968">
        <f>الجدول1[[#This Row],[Sales_Amount]]*(1-الجدول1[[#This Row],[Discount]])</f>
        <v>6877.893</v>
      </c>
    </row>
    <row r="969" spans="1:16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 s="7">
        <v>0.24</v>
      </c>
      <c r="L969" t="s">
        <v>31</v>
      </c>
      <c r="M969" t="s">
        <v>22</v>
      </c>
      <c r="N969" t="s">
        <v>40</v>
      </c>
      <c r="O969" s="7">
        <f>الجدول1[[#This Row],[Discount]]*1</f>
        <v>0.24</v>
      </c>
      <c r="P969">
        <f>الجدول1[[#This Row],[Sales_Amount]]*(1-الجدول1[[#This Row],[Discount]])</f>
        <v>2840.2492000000002</v>
      </c>
    </row>
    <row r="970" spans="1:16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 s="7">
        <v>0.02</v>
      </c>
      <c r="L970" t="s">
        <v>31</v>
      </c>
      <c r="M970" t="s">
        <v>19</v>
      </c>
      <c r="N970" t="s">
        <v>23</v>
      </c>
      <c r="O970" s="7">
        <f>الجدول1[[#This Row],[Discount]]*1</f>
        <v>0.02</v>
      </c>
      <c r="P970">
        <f>الجدول1[[#This Row],[Sales_Amount]]*(1-الجدول1[[#This Row],[Discount]])</f>
        <v>942.24059999999997</v>
      </c>
    </row>
    <row r="971" spans="1:16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 s="7">
        <v>0.24</v>
      </c>
      <c r="L971" t="s">
        <v>31</v>
      </c>
      <c r="M971" t="s">
        <v>22</v>
      </c>
      <c r="N971" t="s">
        <v>50</v>
      </c>
      <c r="O971" s="7">
        <f>الجدول1[[#This Row],[Discount]]*1</f>
        <v>0.24</v>
      </c>
      <c r="P971">
        <f>الجدول1[[#This Row],[Sales_Amount]]*(1-الجدول1[[#This Row],[Discount]])</f>
        <v>4265.2492000000002</v>
      </c>
    </row>
    <row r="972" spans="1:16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 s="7">
        <v>0.15</v>
      </c>
      <c r="L972" t="s">
        <v>31</v>
      </c>
      <c r="M972" t="s">
        <v>22</v>
      </c>
      <c r="N972" t="s">
        <v>28</v>
      </c>
      <c r="O972" s="7">
        <f>الجدول1[[#This Row],[Discount]]*1</f>
        <v>0.15</v>
      </c>
      <c r="P972">
        <f>الجدول1[[#This Row],[Sales_Amount]]*(1-الجدول1[[#This Row],[Discount]])</f>
        <v>7196.6950000000006</v>
      </c>
    </row>
    <row r="973" spans="1:16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 s="7">
        <v>0.04</v>
      </c>
      <c r="L973" t="s">
        <v>31</v>
      </c>
      <c r="M973" t="s">
        <v>22</v>
      </c>
      <c r="N973" t="s">
        <v>46</v>
      </c>
      <c r="O973" s="7">
        <f>الجدول1[[#This Row],[Discount]]*1</f>
        <v>0.04</v>
      </c>
      <c r="P973">
        <f>الجدول1[[#This Row],[Sales_Amount]]*(1-الجدول1[[#This Row],[Discount]])</f>
        <v>7660.4831999999997</v>
      </c>
    </row>
    <row r="974" spans="1:16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 s="7">
        <v>0.27</v>
      </c>
      <c r="L974" t="s">
        <v>31</v>
      </c>
      <c r="M974" t="s">
        <v>19</v>
      </c>
      <c r="N974" t="s">
        <v>36</v>
      </c>
      <c r="O974" s="7">
        <f>الجدول1[[#This Row],[Discount]]*1</f>
        <v>0.27</v>
      </c>
      <c r="P974">
        <f>الجدول1[[#This Row],[Sales_Amount]]*(1-الجدول1[[#This Row],[Discount]])</f>
        <v>1338.6156000000001</v>
      </c>
    </row>
    <row r="975" spans="1:16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 s="7">
        <v>0.19</v>
      </c>
      <c r="L975" t="s">
        <v>31</v>
      </c>
      <c r="M975" t="s">
        <v>19</v>
      </c>
      <c r="N975" t="s">
        <v>53</v>
      </c>
      <c r="O975" s="7">
        <f>الجدول1[[#This Row],[Discount]]*1</f>
        <v>0.19</v>
      </c>
      <c r="P975">
        <f>الجدول1[[#This Row],[Sales_Amount]]*(1-الجدول1[[#This Row],[Discount]])</f>
        <v>5475.8996999999999</v>
      </c>
    </row>
    <row r="976" spans="1:16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 s="7">
        <v>0.05</v>
      </c>
      <c r="L976" t="s">
        <v>27</v>
      </c>
      <c r="M976" t="s">
        <v>22</v>
      </c>
      <c r="N976" t="s">
        <v>40</v>
      </c>
      <c r="O976" s="7">
        <f>الجدول1[[#This Row],[Discount]]*1</f>
        <v>0.05</v>
      </c>
      <c r="P976">
        <f>الجدول1[[#This Row],[Sales_Amount]]*(1-الجدول1[[#This Row],[Discount]])</f>
        <v>2168.8404999999998</v>
      </c>
    </row>
    <row r="977" spans="1:16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 s="7">
        <v>0.01</v>
      </c>
      <c r="L977" t="s">
        <v>18</v>
      </c>
      <c r="M977" t="s">
        <v>22</v>
      </c>
      <c r="N977" t="s">
        <v>52</v>
      </c>
      <c r="O977" s="7">
        <f>الجدول1[[#This Row],[Discount]]*1</f>
        <v>0.01</v>
      </c>
      <c r="P977">
        <f>الجدول1[[#This Row],[Sales_Amount]]*(1-الجدول1[[#This Row],[Discount]])</f>
        <v>2237.6475</v>
      </c>
    </row>
    <row r="978" spans="1:16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 s="7">
        <v>0.04</v>
      </c>
      <c r="L978" t="s">
        <v>18</v>
      </c>
      <c r="M978" t="s">
        <v>19</v>
      </c>
      <c r="N978" t="s">
        <v>53</v>
      </c>
      <c r="O978" s="7">
        <f>الجدول1[[#This Row],[Discount]]*1</f>
        <v>0.04</v>
      </c>
      <c r="P978">
        <f>الجدول1[[#This Row],[Sales_Amount]]*(1-الجدول1[[#This Row],[Discount]])</f>
        <v>8403.1775999999991</v>
      </c>
    </row>
    <row r="979" spans="1:16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 s="7">
        <v>0.18</v>
      </c>
      <c r="L979" t="s">
        <v>27</v>
      </c>
      <c r="M979" t="s">
        <v>22</v>
      </c>
      <c r="N979" t="s">
        <v>49</v>
      </c>
      <c r="O979" s="7">
        <f>الجدول1[[#This Row],[Discount]]*1</f>
        <v>0.18</v>
      </c>
      <c r="P979">
        <f>الجدول1[[#This Row],[Sales_Amount]]*(1-الجدول1[[#This Row],[Discount]])</f>
        <v>2108.8103999999998</v>
      </c>
    </row>
    <row r="980" spans="1:16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 s="7">
        <v>0.05</v>
      </c>
      <c r="L980" t="s">
        <v>27</v>
      </c>
      <c r="M980" t="s">
        <v>19</v>
      </c>
      <c r="N980" t="s">
        <v>45</v>
      </c>
      <c r="O980" s="7">
        <f>الجدول1[[#This Row],[Discount]]*1</f>
        <v>0.05</v>
      </c>
      <c r="P980">
        <f>الجدول1[[#This Row],[Sales_Amount]]*(1-الجدول1[[#This Row],[Discount]])</f>
        <v>2570.8424999999997</v>
      </c>
    </row>
    <row r="981" spans="1:16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 s="7">
        <v>7.0000000000000007E-2</v>
      </c>
      <c r="L981" t="s">
        <v>31</v>
      </c>
      <c r="M981" t="s">
        <v>22</v>
      </c>
      <c r="N981" t="s">
        <v>51</v>
      </c>
      <c r="O981" s="7">
        <f>الجدول1[[#This Row],[Discount]]*1</f>
        <v>7.0000000000000007E-2</v>
      </c>
      <c r="P981">
        <f>الجدول1[[#This Row],[Sales_Amount]]*(1-الجدول1[[#This Row],[Discount]])</f>
        <v>99.017099999999999</v>
      </c>
    </row>
    <row r="982" spans="1:16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 s="7">
        <v>0.01</v>
      </c>
      <c r="L982" t="s">
        <v>31</v>
      </c>
      <c r="M982" t="s">
        <v>19</v>
      </c>
      <c r="N982" t="s">
        <v>47</v>
      </c>
      <c r="O982" s="7">
        <f>الجدول1[[#This Row],[Discount]]*1</f>
        <v>0.01</v>
      </c>
      <c r="P982">
        <f>الجدول1[[#This Row],[Sales_Amount]]*(1-الجدول1[[#This Row],[Discount]])</f>
        <v>8632.4238000000005</v>
      </c>
    </row>
    <row r="983" spans="1:16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 s="7">
        <v>0.22</v>
      </c>
      <c r="L983" t="s">
        <v>27</v>
      </c>
      <c r="M983" t="s">
        <v>19</v>
      </c>
      <c r="N983" t="s">
        <v>46</v>
      </c>
      <c r="O983" s="7">
        <f>الجدول1[[#This Row],[Discount]]*1</f>
        <v>0.22</v>
      </c>
      <c r="P983">
        <f>الجدول1[[#This Row],[Sales_Amount]]*(1-الجدول1[[#This Row],[Discount]])</f>
        <v>6198.4182000000001</v>
      </c>
    </row>
    <row r="984" spans="1:16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 s="7">
        <v>0.24</v>
      </c>
      <c r="L984" t="s">
        <v>31</v>
      </c>
      <c r="M984" t="s">
        <v>19</v>
      </c>
      <c r="N984" t="s">
        <v>20</v>
      </c>
      <c r="O984" s="7">
        <f>الجدول1[[#This Row],[Discount]]*1</f>
        <v>0.24</v>
      </c>
      <c r="P984">
        <f>الجدول1[[#This Row],[Sales_Amount]]*(1-الجدول1[[#This Row],[Discount]])</f>
        <v>4796.0255999999999</v>
      </c>
    </row>
    <row r="985" spans="1:16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 s="7">
        <v>0.24</v>
      </c>
      <c r="L985" t="s">
        <v>18</v>
      </c>
      <c r="M985" t="s">
        <v>19</v>
      </c>
      <c r="N985" t="s">
        <v>41</v>
      </c>
      <c r="O985" s="7">
        <f>الجدول1[[#This Row],[Discount]]*1</f>
        <v>0.24</v>
      </c>
      <c r="P985">
        <f>الجدول1[[#This Row],[Sales_Amount]]*(1-الجدول1[[#This Row],[Discount]])</f>
        <v>5720.9988000000003</v>
      </c>
    </row>
    <row r="986" spans="1:16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 s="7">
        <v>0.04</v>
      </c>
      <c r="L986" t="s">
        <v>18</v>
      </c>
      <c r="M986" t="s">
        <v>22</v>
      </c>
      <c r="N986" t="s">
        <v>36</v>
      </c>
      <c r="O986" s="7">
        <f>الجدول1[[#This Row],[Discount]]*1</f>
        <v>0.04</v>
      </c>
      <c r="P986">
        <f>الجدول1[[#This Row],[Sales_Amount]]*(1-الجدول1[[#This Row],[Discount]])</f>
        <v>1541.0688</v>
      </c>
    </row>
    <row r="987" spans="1:16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 s="7">
        <v>0.27</v>
      </c>
      <c r="L987" t="s">
        <v>31</v>
      </c>
      <c r="M987" t="s">
        <v>19</v>
      </c>
      <c r="N987" t="s">
        <v>40</v>
      </c>
      <c r="O987" s="7">
        <f>الجدول1[[#This Row],[Discount]]*1</f>
        <v>0.27</v>
      </c>
      <c r="P987">
        <f>الجدول1[[#This Row],[Sales_Amount]]*(1-الجدول1[[#This Row],[Discount]])</f>
        <v>3385.3019999999997</v>
      </c>
    </row>
    <row r="988" spans="1:16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 s="7">
        <v>0.2</v>
      </c>
      <c r="L988" t="s">
        <v>31</v>
      </c>
      <c r="M988" t="s">
        <v>22</v>
      </c>
      <c r="N988" t="s">
        <v>28</v>
      </c>
      <c r="O988" s="7">
        <f>الجدول1[[#This Row],[Discount]]*1</f>
        <v>0.2</v>
      </c>
      <c r="P988">
        <f>الجدول1[[#This Row],[Sales_Amount]]*(1-الجدول1[[#This Row],[Discount]])</f>
        <v>2861.6560000000004</v>
      </c>
    </row>
    <row r="989" spans="1:16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 s="7">
        <v>0.27</v>
      </c>
      <c r="L989" t="s">
        <v>31</v>
      </c>
      <c r="M989" t="s">
        <v>19</v>
      </c>
      <c r="N989" t="s">
        <v>40</v>
      </c>
      <c r="O989" s="7">
        <f>الجدول1[[#This Row],[Discount]]*1</f>
        <v>0.27</v>
      </c>
      <c r="P989">
        <f>الجدول1[[#This Row],[Sales_Amount]]*(1-الجدول1[[#This Row],[Discount]])</f>
        <v>750.7247000000001</v>
      </c>
    </row>
    <row r="990" spans="1:16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 s="7">
        <v>0.13</v>
      </c>
      <c r="L990" t="s">
        <v>18</v>
      </c>
      <c r="M990" t="s">
        <v>19</v>
      </c>
      <c r="N990" t="s">
        <v>49</v>
      </c>
      <c r="O990" s="7">
        <f>الجدول1[[#This Row],[Discount]]*1</f>
        <v>0.13</v>
      </c>
      <c r="P990">
        <f>الجدول1[[#This Row],[Sales_Amount]]*(1-الجدول1[[#This Row],[Discount]])</f>
        <v>4274.0402999999997</v>
      </c>
    </row>
    <row r="991" spans="1:16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 s="7">
        <v>0.13</v>
      </c>
      <c r="L991" t="s">
        <v>31</v>
      </c>
      <c r="M991" t="s">
        <v>22</v>
      </c>
      <c r="N991" t="s">
        <v>47</v>
      </c>
      <c r="O991" s="7">
        <f>الجدول1[[#This Row],[Discount]]*1</f>
        <v>0.13</v>
      </c>
      <c r="P991">
        <f>الجدول1[[#This Row],[Sales_Amount]]*(1-الجدول1[[#This Row],[Discount]])</f>
        <v>8017.3283999999994</v>
      </c>
    </row>
    <row r="992" spans="1:16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 s="7">
        <v>0.24</v>
      </c>
      <c r="L992" t="s">
        <v>27</v>
      </c>
      <c r="M992" t="s">
        <v>22</v>
      </c>
      <c r="N992" t="s">
        <v>46</v>
      </c>
      <c r="O992" s="7">
        <f>الجدول1[[#This Row],[Discount]]*1</f>
        <v>0.24</v>
      </c>
      <c r="P992">
        <f>الجدول1[[#This Row],[Sales_Amount]]*(1-الجدول1[[#This Row],[Discount]])</f>
        <v>377.40839999999997</v>
      </c>
    </row>
    <row r="993" spans="1:16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 s="7">
        <v>0.03</v>
      </c>
      <c r="L993" t="s">
        <v>31</v>
      </c>
      <c r="M993" t="s">
        <v>22</v>
      </c>
      <c r="N993" t="s">
        <v>36</v>
      </c>
      <c r="O993" s="7">
        <f>الجدول1[[#This Row],[Discount]]*1</f>
        <v>0.03</v>
      </c>
      <c r="P993">
        <f>الجدول1[[#This Row],[Sales_Amount]]*(1-الجدول1[[#This Row],[Discount]])</f>
        <v>2895.8962000000001</v>
      </c>
    </row>
    <row r="994" spans="1:16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 s="7">
        <v>0.16</v>
      </c>
      <c r="L994" t="s">
        <v>27</v>
      </c>
      <c r="M994" t="s">
        <v>19</v>
      </c>
      <c r="N994" t="s">
        <v>47</v>
      </c>
      <c r="O994" s="7">
        <f>الجدول1[[#This Row],[Discount]]*1</f>
        <v>0.16</v>
      </c>
      <c r="P994">
        <f>الجدول1[[#This Row],[Sales_Amount]]*(1-الجدول1[[#This Row],[Discount]])</f>
        <v>1809.9143999999999</v>
      </c>
    </row>
    <row r="995" spans="1:16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 s="7">
        <v>0.25</v>
      </c>
      <c r="L995" t="s">
        <v>31</v>
      </c>
      <c r="M995" t="s">
        <v>19</v>
      </c>
      <c r="N995" t="s">
        <v>45</v>
      </c>
      <c r="O995" s="7">
        <f>الجدول1[[#This Row],[Discount]]*1</f>
        <v>0.25</v>
      </c>
      <c r="P995">
        <f>الجدول1[[#This Row],[Sales_Amount]]*(1-الجدول1[[#This Row],[Discount]])</f>
        <v>1843.2375000000002</v>
      </c>
    </row>
    <row r="996" spans="1:16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 s="7">
        <v>0.25</v>
      </c>
      <c r="L996" t="s">
        <v>31</v>
      </c>
      <c r="M996" t="s">
        <v>22</v>
      </c>
      <c r="N996" t="s">
        <v>43</v>
      </c>
      <c r="O996" s="7">
        <f>الجدول1[[#This Row],[Discount]]*1</f>
        <v>0.25</v>
      </c>
      <c r="P996">
        <f>الجدول1[[#This Row],[Sales_Amount]]*(1-الجدول1[[#This Row],[Discount]])</f>
        <v>6820.125</v>
      </c>
    </row>
    <row r="997" spans="1:16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 s="7">
        <v>0.28999999999999998</v>
      </c>
      <c r="L997" t="s">
        <v>18</v>
      </c>
      <c r="M997" t="s">
        <v>19</v>
      </c>
      <c r="N997" t="s">
        <v>53</v>
      </c>
      <c r="O997" s="7">
        <f>الجدول1[[#This Row],[Discount]]*1</f>
        <v>0.28999999999999998</v>
      </c>
      <c r="P997">
        <f>الجدول1[[#This Row],[Sales_Amount]]*(1-الجدول1[[#This Row],[Discount]])</f>
        <v>3361.0547999999999</v>
      </c>
    </row>
    <row r="998" spans="1:16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 s="7">
        <v>0.21</v>
      </c>
      <c r="L998" t="s">
        <v>27</v>
      </c>
      <c r="M998" t="s">
        <v>22</v>
      </c>
      <c r="N998" t="s">
        <v>20</v>
      </c>
      <c r="O998" s="7">
        <f>الجدول1[[#This Row],[Discount]]*1</f>
        <v>0.21</v>
      </c>
      <c r="P998">
        <f>الجدول1[[#This Row],[Sales_Amount]]*(1-الجدول1[[#This Row],[Discount]])</f>
        <v>3725.9243999999999</v>
      </c>
    </row>
    <row r="999" spans="1:16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 s="7">
        <v>0.06</v>
      </c>
      <c r="L999" t="s">
        <v>27</v>
      </c>
      <c r="M999" t="s">
        <v>19</v>
      </c>
      <c r="N999" t="s">
        <v>28</v>
      </c>
      <c r="O999" s="7">
        <f>الجدول1[[#This Row],[Discount]]*1</f>
        <v>0.06</v>
      </c>
      <c r="P999">
        <f>الجدول1[[#This Row],[Sales_Amount]]*(1-الجدول1[[#This Row],[Discount]])</f>
        <v>7171.9179999999997</v>
      </c>
    </row>
    <row r="1000" spans="1:16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 s="7">
        <v>0.01</v>
      </c>
      <c r="L1000" t="s">
        <v>27</v>
      </c>
      <c r="M1000" t="s">
        <v>19</v>
      </c>
      <c r="N1000" t="s">
        <v>47</v>
      </c>
      <c r="O1000" s="7">
        <f>الجدول1[[#This Row],[Discount]]*1</f>
        <v>0.01</v>
      </c>
      <c r="P1000">
        <f>الجدول1[[#This Row],[Sales_Amount]]*(1-الجدول1[[#This Row],[Discount]])</f>
        <v>1613.1753000000001</v>
      </c>
    </row>
    <row r="1001" spans="1:16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 s="7">
        <v>0.14000000000000001</v>
      </c>
      <c r="L1001" t="s">
        <v>18</v>
      </c>
      <c r="M1001" t="s">
        <v>19</v>
      </c>
      <c r="N1001" t="s">
        <v>52</v>
      </c>
      <c r="O1001" s="7">
        <f>الجدول1[[#This Row],[Discount]]*1</f>
        <v>0.14000000000000001</v>
      </c>
      <c r="P1001">
        <f>الجدول1[[#This Row],[Sales_Amount]]*(1-الجدول1[[#This Row],[Discount]])</f>
        <v>4234.5798000000004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3860F55601D848A4A79BE746119F17" ma:contentTypeVersion="4" ma:contentTypeDescription="Create a new document." ma:contentTypeScope="" ma:versionID="b4b94eff4d1c60b5509c67bbafbded8b">
  <xsd:schema xmlns:xsd="http://www.w3.org/2001/XMLSchema" xmlns:xs="http://www.w3.org/2001/XMLSchema" xmlns:p="http://schemas.microsoft.com/office/2006/metadata/properties" xmlns:ns3="8283f723-980e-4a34-a8ac-960fec6c62e1" targetNamespace="http://schemas.microsoft.com/office/2006/metadata/properties" ma:root="true" ma:fieldsID="899527822f751dfb50983eff0d169ed9" ns3:_="">
    <xsd:import namespace="8283f723-980e-4a34-a8ac-960fec6c62e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3f723-980e-4a34-a8ac-960fec6c62e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263C141-DE90-4871-9E1C-039A82B6B2F5}">
  <ds:schemaRefs>
    <ds:schemaRef ds:uri="http://schemas.microsoft.com/office/2006/documentManagement/types"/>
    <ds:schemaRef ds:uri="http://www.w3.org/XML/1998/namespace"/>
    <ds:schemaRef ds:uri="8283f723-980e-4a34-a8ac-960fec6c62e1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6C85213-FE9E-49FC-81E7-2CFB8E596F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98620B-A24C-4673-9534-21C31B3F10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83f723-980e-4a34-a8ac-960fec6c62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92FBBF0-1245-4C0E-94D9-AA3A0F28A8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Pivot Analysis</vt:lpstr>
      <vt:lpstr>الجدول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هيا المواش-20246741</dc:creator>
  <cp:lastModifiedBy>هيا المواش-20246741</cp:lastModifiedBy>
  <dcterms:created xsi:type="dcterms:W3CDTF">2026-04-21T20:40:14Z</dcterms:created>
  <dcterms:modified xsi:type="dcterms:W3CDTF">2026-05-09T17:40:56Z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0x010100DF3860F55601D848A4A79BE746119F17</vt:lpwstr>
  </property>
</Properties>
</file>